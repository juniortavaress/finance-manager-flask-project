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40b33bde7a406e5/Documentos/GitHub/finance-manager-flask-project/app/static/datas/"/>
    </mc:Choice>
  </mc:AlternateContent>
  <xr:revisionPtr revIDLastSave="1112" documentId="11_03B990D5E0C1CEC65EDED56A9AFE00964731BD63" xr6:coauthVersionLast="47" xr6:coauthVersionMax="47" xr10:uidLastSave="{67CCBE97-407D-4C42-810D-715E1EE31A45}"/>
  <bookViews>
    <workbookView xWindow="-108" yWindow="-108" windowWidth="23256" windowHeight="12456" activeTab="2" xr2:uid="{00000000-000D-0000-FFFF-FFFF00000000}"/>
  </bookViews>
  <sheets>
    <sheet name="Test2" sheetId="7" r:id="rId1"/>
    <sheet name="Test" sheetId="6" r:id="rId2"/>
    <sheet name="Investments" sheetId="8" r:id="rId3"/>
    <sheet name="Geral" sheetId="2" r:id="rId4"/>
    <sheet name="Euro" sheetId="3" r:id="rId5"/>
    <sheet name="Real" sheetId="4" r:id="rId6"/>
    <sheet name="Aportes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6" i="7" l="1"/>
  <c r="I805" i="7"/>
  <c r="K15" i="4"/>
  <c r="K14" i="4"/>
  <c r="K8" i="4"/>
  <c r="K3" i="3"/>
  <c r="K2" i="3"/>
  <c r="G155" i="2"/>
  <c r="G147" i="2"/>
  <c r="K3" i="4"/>
  <c r="K2" i="4"/>
  <c r="K7" i="4"/>
  <c r="G25" i="4"/>
  <c r="G33" i="4"/>
  <c r="K4" i="4" l="1"/>
  <c r="K9" i="4"/>
  <c r="K5" i="3"/>
  <c r="J2" i="1"/>
</calcChain>
</file>

<file path=xl/sharedStrings.xml><?xml version="1.0" encoding="utf-8"?>
<sst xmlns="http://schemas.openxmlformats.org/spreadsheetml/2006/main" count="7875" uniqueCount="509">
  <si>
    <t>User</t>
  </si>
  <si>
    <t>Date</t>
  </si>
  <si>
    <t>Bank</t>
  </si>
  <si>
    <t>Description</t>
  </si>
  <si>
    <t>Category</t>
  </si>
  <si>
    <t>Type</t>
  </si>
  <si>
    <t>Amount</t>
  </si>
  <si>
    <t>Coin Type</t>
  </si>
  <si>
    <t>Wise</t>
  </si>
  <si>
    <t>Aluguel + Caução</t>
  </si>
  <si>
    <t>Without</t>
  </si>
  <si>
    <t>Expense</t>
  </si>
  <si>
    <t>Euro</t>
  </si>
  <si>
    <t>I</t>
  </si>
  <si>
    <t>Celular (1/3)</t>
  </si>
  <si>
    <t>E</t>
  </si>
  <si>
    <t>Celular (2/3)</t>
  </si>
  <si>
    <t>Celular (3/3)</t>
  </si>
  <si>
    <t>Saldo</t>
  </si>
  <si>
    <t>Revolut</t>
  </si>
  <si>
    <t>Cleaning/Hygiene Expenses</t>
  </si>
  <si>
    <t>Cleaning/Hygiene</t>
  </si>
  <si>
    <t>Clothing Expenses</t>
  </si>
  <si>
    <t>Clothing</t>
  </si>
  <si>
    <t>Fee 25S</t>
  </si>
  <si>
    <t>Fee 25W</t>
  </si>
  <si>
    <t>Food Expenses</t>
  </si>
  <si>
    <t>Food</t>
  </si>
  <si>
    <t>Housing Expenses</t>
  </si>
  <si>
    <t>Housing</t>
  </si>
  <si>
    <t>Mensa Expenses</t>
  </si>
  <si>
    <t>Mensa</t>
  </si>
  <si>
    <t>Money Exchange 2024</t>
  </si>
  <si>
    <t>Income</t>
  </si>
  <si>
    <t>Money Exchange 2025</t>
  </si>
  <si>
    <t>Monthly Bills Expenses</t>
  </si>
  <si>
    <t>Monthly Bills</t>
  </si>
  <si>
    <t>MTI Payment</t>
  </si>
  <si>
    <t>Salary</t>
  </si>
  <si>
    <t>Others Expenses</t>
  </si>
  <si>
    <t>Others</t>
  </si>
  <si>
    <t>Restaurant Expenses</t>
  </si>
  <si>
    <t>Restaurant</t>
  </si>
  <si>
    <t>Semester Fee</t>
  </si>
  <si>
    <t>Takeout Expenses</t>
  </si>
  <si>
    <t>Takeout</t>
  </si>
  <si>
    <t>Ticket Trem</t>
  </si>
  <si>
    <t>Travel Expenses</t>
  </si>
  <si>
    <t>Travel</t>
  </si>
  <si>
    <t>Visa</t>
  </si>
  <si>
    <t>NuInvest</t>
  </si>
  <si>
    <t>NuInvest Bolsa</t>
  </si>
  <si>
    <t>Investments</t>
  </si>
  <si>
    <t>Real</t>
  </si>
  <si>
    <t>NuInvest Cripto</t>
  </si>
  <si>
    <t>NuInvest Reserva</t>
  </si>
  <si>
    <t>XP</t>
  </si>
  <si>
    <t>Nomad</t>
  </si>
  <si>
    <t>total</t>
  </si>
  <si>
    <t>Uni</t>
  </si>
  <si>
    <t>Month Savings</t>
  </si>
  <si>
    <t xml:space="preserve">Rendimentos </t>
  </si>
  <si>
    <t>Gift</t>
  </si>
  <si>
    <t>Purchase</t>
  </si>
  <si>
    <t>LVA</t>
  </si>
  <si>
    <t xml:space="preserve">
Christmas Gift</t>
  </si>
  <si>
    <t>NuInvest Retirada</t>
  </si>
  <si>
    <t>Trip Chile</t>
  </si>
  <si>
    <t>Intership</t>
  </si>
  <si>
    <t>Conversão Euro</t>
  </si>
  <si>
    <t>Entrada Invest</t>
  </si>
  <si>
    <t>Saida Invest</t>
  </si>
  <si>
    <t>Aportes</t>
  </si>
  <si>
    <t>entrada</t>
  </si>
  <si>
    <t>saida</t>
  </si>
  <si>
    <t>saldo</t>
  </si>
  <si>
    <t>Christmas Gift</t>
  </si>
  <si>
    <t>Rendimentos</t>
  </si>
  <si>
    <t>Data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</si>
  <si>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</si>
  <si>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</si>
  <si>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</si>
  <si>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</si>
  <si>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</si>
  <si>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</si>
  <si>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</si>
  <si>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</si>
  <si>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</si>
  <si>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</si>
  <si>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</si>
  <si>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</si>
  <si>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</si>
  <si>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</si>
  <si>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</si>
  <si>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</si>
  <si>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</si>
  <si>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</si>
  <si>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</si>
  <si>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</si>
  <si>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</si>
  <si>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</si>
  <si>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</si>
  <si>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</si>
  <si>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</si>
  <si>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</si>
  <si>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</si>
  <si>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</si>
  <si>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</si>
  <si>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</si>
  <si>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</si>
  <si>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</si>
  <si>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</si>
  <si>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</si>
  <si>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</si>
  <si>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</si>
  <si>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</si>
  <si>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</si>
  <si>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</si>
  <si>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</si>
  <si>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</si>
  <si>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</si>
  <si>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</si>
  <si>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</si>
  <si>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</si>
  <si>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</si>
  <si>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</si>
  <si>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</si>
  <si>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</si>
  <si>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</si>
  <si>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</si>
  <si>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</si>
  <si>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</si>
  <si>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</si>
  <si>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</si>
  <si>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</si>
  <si>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</si>
  <si>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</si>
  <si>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</si>
  <si>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</si>
  <si>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</si>
  <si>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</si>
  <si>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</si>
  <si>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</si>
  <si>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</si>
  <si>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</si>
  <si>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</si>
  <si>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</si>
  <si>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</si>
  <si>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</si>
  <si>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</si>
  <si>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</si>
  <si>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</si>
  <si>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</si>
  <si>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</si>
  <si>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</si>
  <si>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</si>
  <si>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</si>
  <si>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</si>
  <si>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</si>
  <si>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</si>
  <si>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</si>
  <si>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</si>
  <si>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</si>
  <si>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</si>
  <si>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</si>
  <si>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</si>
  <si>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</si>
  <si>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</si>
  <si>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</si>
  <si>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</si>
  <si>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</si>
  <si>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</si>
  <si>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</si>
  <si>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</si>
  <si>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</si>
  <si>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</si>
  <si>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</si>
  <si>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</si>
  <si>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</si>
  <si>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</si>
  <si>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</si>
  <si>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</si>
  <si>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</si>
  <si>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</si>
  <si>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</si>
  <si>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</si>
  <si>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</si>
  <si>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</si>
  <si>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</si>
  <si>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</si>
  <si>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</si>
  <si>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</si>
  <si>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</si>
  <si>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</si>
  <si>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</si>
  <si>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</si>
  <si>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</si>
  <si>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</si>
  <si>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</si>
  <si>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</si>
  <si>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</si>
  <si>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</si>
  <si>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</si>
  <si>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</si>
  <si>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</si>
  <si>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</si>
  <si>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</si>
  <si>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</si>
  <si>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</si>
  <si>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</si>
  <si>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</si>
  <si>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</si>
  <si>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</si>
  <si>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</si>
  <si>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</si>
  <si>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</si>
  <si>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</si>
  <si>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</si>
  <si>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</si>
  <si>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</si>
  <si>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</si>
  <si>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</si>
  <si>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</si>
  <si>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</si>
  <si>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</si>
  <si>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</si>
  <si>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</si>
  <si>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</si>
  <si>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</si>
  <si>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</si>
  <si>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</si>
  <si>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</si>
  <si>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</si>
  <si>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</si>
  <si>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</si>
  <si>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</si>
  <si>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</si>
  <si>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</si>
  <si>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</si>
  <si>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</si>
  <si>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</si>
  <si>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</si>
  <si>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</si>
  <si>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</si>
  <si>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</si>
  <si>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</si>
  <si>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</si>
  <si>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</si>
  <si>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</si>
  <si>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</si>
  <si>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</si>
  <si>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</si>
  <si>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</si>
  <si>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</si>
  <si>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</si>
  <si>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</si>
  <si>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</si>
  <si>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</si>
  <si>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</si>
  <si>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</si>
  <si>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</si>
  <si>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</si>
  <si>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</si>
  <si>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</si>
  <si>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</si>
  <si>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</si>
  <si>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</si>
  <si>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</si>
  <si>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</si>
  <si>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</si>
  <si>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</si>
  <si>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</si>
  <si>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</si>
  <si>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</si>
  <si>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</si>
  <si>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</si>
  <si>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</si>
  <si>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</si>
  <si>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</si>
  <si>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</si>
  <si>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</si>
  <si>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</si>
  <si>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</si>
  <si>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</si>
  <si>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</si>
  <si>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</si>
  <si>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</si>
  <si>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</si>
  <si>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</si>
  <si>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</si>
  <si>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</si>
  <si>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</si>
  <si>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</si>
  <si>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</si>
  <si>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</si>
  <si>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</si>
  <si>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</si>
  <si>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</si>
  <si>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</si>
  <si>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</si>
  <si>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</si>
  <si>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</si>
  <si>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</si>
  <si>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</si>
  <si>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</si>
  <si>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</si>
  <si>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</si>
  <si>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</si>
  <si>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</si>
  <si>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</si>
  <si>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</si>
  <si>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</si>
  <si>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</si>
  <si>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</si>
  <si>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</si>
  <si>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</si>
  <si>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</si>
  <si>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</si>
  <si>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</si>
  <si>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</si>
  <si>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</si>
  <si>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</si>
  <si>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</si>
  <si>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</si>
  <si>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</si>
  <si>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</si>
  <si>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</si>
  <si>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</si>
  <si>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</si>
  <si>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</si>
  <si>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</si>
  <si>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</si>
  <si>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</si>
  <si>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</si>
  <si>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</si>
  <si>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</si>
  <si>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</si>
  <si>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</si>
  <si>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</si>
  <si>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</si>
  <si>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</si>
  <si>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</si>
  <si>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</si>
  <si>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</si>
  <si>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</si>
  <si>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</si>
  <si>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</si>
  <si>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</si>
  <si>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</si>
  <si>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</si>
  <si>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</si>
  <si>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</si>
  <si>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</si>
  <si>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</si>
  <si>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</si>
  <si>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</si>
  <si>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</si>
  <si>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</si>
  <si>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</si>
  <si>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</si>
  <si>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</si>
  <si>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</si>
  <si>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</si>
  <si>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</si>
  <si>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</si>
  <si>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</si>
  <si>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</si>
  <si>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</si>
  <si>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</si>
  <si>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</si>
  <si>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</si>
  <si>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</si>
  <si>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</si>
  <si>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</si>
  <si>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</si>
  <si>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</si>
  <si>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</si>
  <si>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</si>
  <si>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</si>
  <si>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</si>
  <si>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</si>
  <si>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</si>
  <si>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</si>
  <si>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</si>
  <si>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</si>
  <si>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</si>
  <si>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</si>
  <si>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</si>
  <si>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</si>
  <si>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</si>
  <si>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</si>
  <si>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</si>
  <si>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</si>
  <si>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</si>
  <si>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</si>
  <si>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</si>
  <si>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</si>
  <si>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</si>
  <si>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</si>
  <si>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</si>
  <si>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</si>
  <si>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</si>
  <si>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</si>
  <si>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</si>
  <si>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</si>
  <si>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</si>
  <si>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</si>
  <si>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</si>
  <si>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</si>
  <si>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</si>
  <si>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</si>
  <si>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</si>
  <si>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</si>
  <si>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</si>
  <si>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</si>
  <si>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</si>
  <si>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</si>
  <si>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</si>
  <si>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</si>
  <si>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</si>
  <si>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</si>
  <si>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</si>
  <si>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</si>
  <si>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</si>
  <si>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</si>
  <si>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</si>
  <si>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</si>
  <si>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</si>
  <si>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</si>
  <si>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</si>
  <si>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</si>
  <si>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</si>
  <si>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</si>
  <si>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</si>
  <si>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</si>
  <si>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</si>
  <si>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</si>
  <si>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</si>
  <si>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</si>
  <si>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</si>
  <si>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</si>
  <si>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</si>
  <si>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</si>
  <si>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</si>
  <si>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</si>
  <si>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</si>
  <si>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</si>
  <si>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</si>
  <si>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</si>
  <si>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</si>
  <si>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</si>
  <si>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</si>
  <si>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</si>
  <si>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</si>
  <si>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</si>
  <si>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</si>
  <si>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</si>
  <si>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</si>
  <si>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</si>
  <si>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</si>
  <si>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</si>
  <si>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</si>
  <si>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</si>
  <si>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</si>
  <si>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</si>
  <si>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</si>
  <si>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</si>
  <si>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</si>
  <si>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</si>
  <si>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</si>
  <si>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</si>
  <si>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</si>
  <si>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</si>
  <si>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</si>
  <si>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</si>
  <si>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</si>
  <si>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</si>
  <si>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</si>
  <si>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</si>
  <si>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</si>
  <si>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</si>
  <si>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</si>
  <si>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</si>
  <si>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</si>
  <si>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</si>
  <si>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</si>
  <si>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</si>
  <si>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</si>
  <si>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</si>
  <si>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</si>
  <si>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</si>
  <si>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</si>
  <si>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</si>
  <si>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Shares</t>
  </si>
  <si>
    <t>Average Price</t>
  </si>
  <si>
    <t>Close</t>
  </si>
  <si>
    <t>Dividends</t>
  </si>
  <si>
    <t>Sales Profit</t>
  </si>
  <si>
    <t>Profit</t>
  </si>
  <si>
    <t>Profitability</t>
  </si>
  <si>
    <t>PETR4</t>
  </si>
  <si>
    <t>Ticker</t>
  </si>
  <si>
    <t>Real Estate</t>
  </si>
  <si>
    <t>FII</t>
  </si>
  <si>
    <t>FAED11</t>
  </si>
  <si>
    <t>Company</t>
  </si>
  <si>
    <t>TGAR11</t>
  </si>
  <si>
    <t>HGRU11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</si>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</sst>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_-[$€-2]\ * #,##0.00_-;\-[$€-2]\ * #,##0.00_-;_-[$€-2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Aptos Narrow"/>
      <family val="2"/>
    </font>
    <font>
      <b/>
      <sz val="11"/>
      <name val="Calibri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82">
    <xf numFmtId="0" fontId="0" fillId="0" borderId="0" xfId="0"/>
    <xf numFmtId="3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7" fontId="0" fillId="0" borderId="0" xfId="0" applyNumberFormat="1"/>
    <xf numFmtId="3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7" fontId="2" fillId="0" borderId="2" xfId="0" applyNumberFormat="1" applyFont="1" applyBorder="1" applyAlignment="1">
      <alignment horizontal="right"/>
    </xf>
    <xf numFmtId="17" fontId="2" fillId="0" borderId="2" xfId="0" applyNumberFormat="1" applyFont="1" applyBorder="1" applyAlignment="1">
      <alignment horizontal="left"/>
    </xf>
    <xf numFmtId="7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7" fontId="5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7" fontId="0" fillId="0" borderId="0" xfId="0" applyNumberFormat="1" applyAlignment="1">
      <alignment horizontal="center"/>
    </xf>
    <xf numFmtId="14" fontId="3" fillId="0" borderId="2" xfId="0" applyNumberFormat="1" applyFont="1" applyBorder="1" applyAlignment="1">
      <alignment horizontal="center"/>
    </xf>
    <xf numFmtId="7" fontId="6" fillId="0" borderId="2" xfId="0" applyNumberFormat="1" applyFont="1" applyBorder="1" applyAlignment="1">
      <alignment horizontal="center"/>
    </xf>
    <xf numFmtId="7" fontId="3" fillId="0" borderId="2" xfId="0" applyNumberFormat="1" applyFont="1" applyBorder="1" applyAlignment="1">
      <alignment horizontal="right"/>
    </xf>
    <xf numFmtId="164" fontId="1" fillId="0" borderId="1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44" fontId="3" fillId="0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4" fontId="5" fillId="0" borderId="2" xfId="1" applyFont="1" applyFill="1" applyBorder="1" applyAlignment="1">
      <alignment horizontal="center" vertical="center"/>
    </xf>
    <xf numFmtId="44" fontId="6" fillId="0" borderId="2" xfId="1" applyFont="1" applyFill="1" applyBorder="1" applyAlignment="1">
      <alignment horizontal="center" vertical="center"/>
    </xf>
    <xf numFmtId="7" fontId="6" fillId="0" borderId="2" xfId="0" applyNumberFormat="1" applyFont="1" applyBorder="1" applyAlignment="1">
      <alignment horizontal="center" vertical="center"/>
    </xf>
    <xf numFmtId="7" fontId="3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4" fontId="1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7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0" borderId="2" xfId="1" applyFont="1" applyFill="1" applyBorder="1" applyAlignment="1">
      <alignment horizontal="center" vertical="center"/>
    </xf>
    <xf numFmtId="7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7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44" fontId="0" fillId="0" borderId="2" xfId="0" applyNumberFormat="1" applyBorder="1"/>
    <xf numFmtId="44" fontId="2" fillId="0" borderId="2" xfId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17" fontId="9" fillId="2" borderId="3" xfId="0" applyNumberFormat="1" applyFont="1" applyFill="1" applyBorder="1" applyAlignment="1">
      <alignment horizontal="center"/>
    </xf>
    <xf numFmtId="17" fontId="0" fillId="0" borderId="0" xfId="0" applyNumberFormat="1"/>
    <xf numFmtId="0" fontId="10" fillId="0" borderId="4" xfId="0" applyFont="1" applyBorder="1" applyAlignment="1">
      <alignment horizontal="center" vertical="top"/>
    </xf>
    <xf numFmtId="17" fontId="9" fillId="2" borderId="2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wrapText="1"/>
    </xf>
    <xf numFmtId="3" fontId="1" fillId="0" borderId="5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 vertical="center"/>
    </xf>
    <xf numFmtId="0" fontId="12" fillId="0" borderId="0" xfId="0" applyFont="1"/>
    <xf numFmtId="14" fontId="0" fillId="0" borderId="0" xfId="0" applyNumberFormat="1"/>
    <xf numFmtId="14" fontId="13" fillId="3" borderId="2" xfId="0" applyNumberFormat="1" applyFont="1" applyFill="1" applyBorder="1" applyAlignment="1">
      <alignment horizontal="center" vertical="center"/>
    </xf>
    <xf numFmtId="14" fontId="12" fillId="0" borderId="0" xfId="0" applyNumberFormat="1" applyFont="1"/>
  </cellXfs>
  <cellStyles count="2">
    <cellStyle name="Moeda" xfId="1" builtinId="4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_-[$€-2]\ * #,##0.00_-;\-[$€-2]\ * #,##0.00_-;_-[$€-2]\ * &quot;-&quot;??_-;_-@_-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C32ACB-8C6E-4B04-A5F1-ED624986B493}" name="Tabela137" displayName="Tabela137" ref="A1:H310" totalsRowShown="0" headerRowDxfId="30" dataDxfId="29">
  <autoFilter ref="A1:H310" xr:uid="{00000000-0009-0000-0100-000002000000}"/>
  <sortState xmlns:xlrd2="http://schemas.microsoft.com/office/spreadsheetml/2017/richdata2" ref="A2:H310">
    <sortCondition ref="D1:D310"/>
  </sortState>
  <tableColumns count="8">
    <tableColumn id="1" xr3:uid="{4BE5E99E-FEF2-4657-AFDD-F262992D5235}" name="User" dataDxfId="28"/>
    <tableColumn id="2" xr3:uid="{3E4AD3DD-F2CA-46DE-9FF1-299CC6476A47}" name="Date" dataDxfId="27"/>
    <tableColumn id="3" xr3:uid="{EB6E2882-4169-4F6D-B339-ABDC52047B30}" name="Bank" dataDxfId="26"/>
    <tableColumn id="4" xr3:uid="{93208227-DDBA-404C-8DFC-C609305B3F8B}" name="Description" dataDxfId="25"/>
    <tableColumn id="5" xr3:uid="{B01B230F-4841-4FAA-A502-E5D902A71BBD}" name="Category" dataDxfId="24"/>
    <tableColumn id="6" xr3:uid="{BB836AB9-B2EA-44C2-A89B-EA09E961F014}" name="Type" dataDxfId="23"/>
    <tableColumn id="7" xr3:uid="{7E9AA345-156F-4160-817E-61BB768EC12C}" name="Amount" dataDxfId="22">
      <calculatedColumnFormula>Tabela137[[#This Row],[Amount]]/1.97</calculatedColumnFormula>
    </tableColumn>
    <tableColumn id="8" xr3:uid="{B4F7FC90-7376-4C5C-8454-8467D7416097}" name="Coin Type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" displayName="Tabela13" ref="A1:H351" totalsRowShown="0" headerRowDxfId="20" dataDxfId="19">
  <autoFilter ref="A1:H351" xr:uid="{00000000-0009-0000-0100-000002000000}">
    <filterColumn colId="7">
      <filters>
        <filter val="Real"/>
      </filters>
    </filterColumn>
  </autoFilter>
  <sortState xmlns:xlrd2="http://schemas.microsoft.com/office/spreadsheetml/2017/richdata2" ref="A2:H178">
    <sortCondition ref="A1:A351"/>
  </sortState>
  <tableColumns count="8">
    <tableColumn id="1" xr3:uid="{00000000-0010-0000-0100-000001000000}" name="User" dataDxfId="18"/>
    <tableColumn id="2" xr3:uid="{00000000-0010-0000-0100-000002000000}" name="Date" dataDxfId="17"/>
    <tableColumn id="3" xr3:uid="{00000000-0010-0000-0100-000003000000}" name="Bank" dataDxfId="16"/>
    <tableColumn id="4" xr3:uid="{00000000-0010-0000-0100-000004000000}" name="Description" dataDxfId="15"/>
    <tableColumn id="5" xr3:uid="{00000000-0010-0000-0100-000005000000}" name="Category" dataDxfId="14"/>
    <tableColumn id="6" xr3:uid="{00000000-0010-0000-0100-000006000000}" name="Type" dataDxfId="13"/>
    <tableColumn id="7" xr3:uid="{00000000-0010-0000-0100-000007000000}" name="Amount" dataDxfId="12" dataCellStyle="Moeda"/>
    <tableColumn id="8" xr3:uid="{00000000-0010-0000-0100-000008000000}" name="Coin Type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ela3" displayName="Tabela3" ref="A1:H183" totalsRowShown="0">
  <autoFilter ref="A1:H183" xr:uid="{00000000-0009-0000-0100-000001000000}"/>
  <sortState xmlns:xlrd2="http://schemas.microsoft.com/office/spreadsheetml/2017/richdata2" ref="A2:H183">
    <sortCondition ref="B1:B183"/>
  </sortState>
  <tableColumns count="8">
    <tableColumn id="1" xr3:uid="{00000000-0010-0000-0200-000001000000}" name="User"/>
    <tableColumn id="2" xr3:uid="{00000000-0010-0000-0200-000002000000}" name="Date"/>
    <tableColumn id="3" xr3:uid="{00000000-0010-0000-0200-000003000000}" name="Bank"/>
    <tableColumn id="4" xr3:uid="{00000000-0010-0000-0200-000004000000}" name="Description"/>
    <tableColumn id="5" xr3:uid="{00000000-0010-0000-0200-000005000000}" name="Category"/>
    <tableColumn id="6" xr3:uid="{00000000-0010-0000-0200-000006000000}" name="Type"/>
    <tableColumn id="7" xr3:uid="{00000000-0010-0000-0200-000007000000}" name="Amount" dataDxfId="10" dataCellStyle="Moeda"/>
    <tableColumn id="8" xr3:uid="{00000000-0010-0000-0200-000008000000}" name="Coin 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7F66D9-4377-4BEC-B2F6-491A82A51FDA}" name="Tabela4" displayName="Tabela4" ref="A1:H178" totalsRowShown="0" headerRowDxfId="9" dataDxfId="8" headerRowCellStyle="Moeda">
  <autoFilter ref="A1:H178" xr:uid="{BC7F66D9-4377-4BEC-B2F6-491A82A51FDA}"/>
  <sortState xmlns:xlrd2="http://schemas.microsoft.com/office/spreadsheetml/2017/richdata2" ref="A2:H178">
    <sortCondition descending="1" ref="B1:B178"/>
  </sortState>
  <tableColumns count="8">
    <tableColumn id="1" xr3:uid="{B495EDC8-0B71-4B48-A3A7-EC3A2F19A4FE}" name="User" dataDxfId="7"/>
    <tableColumn id="2" xr3:uid="{A7CB4F48-AEDA-4F1F-8E60-0E838419A29C}" name="Date" dataDxfId="6"/>
    <tableColumn id="3" xr3:uid="{0891B47F-847F-43AB-90D3-539DE5616D76}" name="Bank" dataDxfId="5"/>
    <tableColumn id="4" xr3:uid="{2D5E0A88-AFE5-49F1-B8D7-371D69F3CFD9}" name="Description" dataDxfId="4"/>
    <tableColumn id="5" xr3:uid="{A3C63E27-3B01-4C24-B8AD-CA385798B5C6}" name="Category" dataDxfId="3"/>
    <tableColumn id="6" xr3:uid="{EBFE3EB3-157B-4904-A8FD-7623EE99CB8E}" name="Type" dataDxfId="2"/>
    <tableColumn id="7" xr3:uid="{BB2870C2-27FE-42B6-817C-05140CAE87C5}" name="Amount" dataDxfId="1" dataCellStyle="Moeda"/>
    <tableColumn id="8" xr3:uid="{AEA9FACB-8271-47EC-86DE-539DF6B24316}" name="Coin Type" dataDxfId="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1" displayName="Tabela1" ref="A1:G78" totalsRowShown="0">
  <autoFilter ref="A1:G78" xr:uid="{00000000-0009-0000-0100-000003000000}"/>
  <sortState xmlns:xlrd2="http://schemas.microsoft.com/office/spreadsheetml/2017/richdata2" ref="A2:G78">
    <sortCondition ref="F1:F78"/>
  </sortState>
  <tableColumns count="7">
    <tableColumn id="1" xr3:uid="{00000000-0010-0000-0000-000001000000}" name="User"/>
    <tableColumn id="2" xr3:uid="{00000000-0010-0000-0000-000002000000}" name="Date"/>
    <tableColumn id="3" xr3:uid="{00000000-0010-0000-0000-000003000000}" name="Bank"/>
    <tableColumn id="4" xr3:uid="{00000000-0010-0000-0000-000004000000}" name="Description"/>
    <tableColumn id="5" xr3:uid="{00000000-0010-0000-0000-000005000000}" name="Category"/>
    <tableColumn id="6" xr3:uid="{00000000-0010-0000-0000-000006000000}" name="Type"/>
    <tableColumn id="7" xr3:uid="{00000000-0010-0000-0000-000007000000}" name="Am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F9F8-2B86-4017-9755-FB210CDD8CDE}">
  <dimension ref="A1:N806"/>
  <sheetViews>
    <sheetView topLeftCell="A166" workbookViewId="0">
      <selection activeCell="H10" sqref="H10"/>
    </sheetView>
  </sheetViews>
  <sheetFormatPr defaultRowHeight="14.4" x14ac:dyDescent="0.3"/>
  <cols>
    <col min="1" max="1" width="18.21875" style="56" customWidth="1"/>
    <col min="2" max="4" width="11.6640625" style="68" customWidth="1"/>
    <col min="5" max="5" width="11.6640625" style="4" customWidth="1"/>
    <col min="6" max="6" width="13" style="4" customWidth="1"/>
    <col min="7" max="7" width="11.6640625" style="4" customWidth="1"/>
    <col min="8" max="11" width="11.6640625" customWidth="1"/>
  </cols>
  <sheetData>
    <row r="1" spans="1:14" x14ac:dyDescent="0.3">
      <c r="A1" s="12" t="s">
        <v>0</v>
      </c>
      <c r="B1" s="67" t="s">
        <v>78</v>
      </c>
      <c r="C1" s="70" t="s">
        <v>501</v>
      </c>
      <c r="D1" s="70" t="s">
        <v>5</v>
      </c>
      <c r="E1" s="69" t="s">
        <v>493</v>
      </c>
      <c r="F1" s="69" t="s">
        <v>494</v>
      </c>
      <c r="G1" s="69" t="s">
        <v>495</v>
      </c>
      <c r="H1" s="69" t="s">
        <v>496</v>
      </c>
      <c r="I1" s="69" t="s">
        <v>497</v>
      </c>
      <c r="J1" s="69" t="s">
        <v>498</v>
      </c>
      <c r="K1" s="69" t="s">
        <v>499</v>
      </c>
      <c r="N1" s="71"/>
    </row>
    <row r="2" spans="1:14" x14ac:dyDescent="0.3">
      <c r="A2" s="34">
        <v>1</v>
      </c>
      <c r="B2" t="s">
        <v>79</v>
      </c>
      <c r="C2" t="s">
        <v>500</v>
      </c>
      <c r="D2" t="s">
        <v>502</v>
      </c>
      <c r="E2">
        <v>4</v>
      </c>
      <c r="F2">
        <v>38.409999999999997</v>
      </c>
      <c r="G2">
        <v>40.76</v>
      </c>
      <c r="H2">
        <v>0</v>
      </c>
      <c r="I2">
        <v>0</v>
      </c>
      <c r="J2">
        <v>9.4000000000000057</v>
      </c>
      <c r="K2">
        <v>6.1181983858370259E-2</v>
      </c>
    </row>
    <row r="3" spans="1:14" x14ac:dyDescent="0.3">
      <c r="A3" s="34">
        <v>1</v>
      </c>
      <c r="B3" t="s">
        <v>80</v>
      </c>
      <c r="C3" t="s">
        <v>500</v>
      </c>
      <c r="D3" t="s">
        <v>502</v>
      </c>
      <c r="E3">
        <v>4</v>
      </c>
      <c r="F3">
        <v>38.409999999999997</v>
      </c>
      <c r="G3">
        <v>40.76</v>
      </c>
      <c r="H3">
        <v>0</v>
      </c>
      <c r="I3">
        <v>0</v>
      </c>
      <c r="J3">
        <v>9.4000000000000057</v>
      </c>
      <c r="K3">
        <v>6.1181983858370259E-2</v>
      </c>
    </row>
    <row r="4" spans="1:14" x14ac:dyDescent="0.3">
      <c r="A4" s="34">
        <v>1</v>
      </c>
      <c r="B4" t="s">
        <v>81</v>
      </c>
      <c r="C4" t="s">
        <v>500</v>
      </c>
      <c r="D4" t="s">
        <v>502</v>
      </c>
      <c r="E4">
        <v>4</v>
      </c>
      <c r="F4">
        <v>38.409999999999997</v>
      </c>
      <c r="G4">
        <v>40.76</v>
      </c>
      <c r="H4">
        <v>0</v>
      </c>
      <c r="I4">
        <v>0</v>
      </c>
      <c r="J4">
        <v>9.4000000000000057</v>
      </c>
      <c r="K4">
        <v>6.1181983858370259E-2</v>
      </c>
    </row>
    <row r="5" spans="1:14" x14ac:dyDescent="0.3">
      <c r="A5" s="34">
        <v>1</v>
      </c>
      <c r="B5" t="s">
        <v>82</v>
      </c>
      <c r="C5" t="s">
        <v>500</v>
      </c>
      <c r="D5" t="s">
        <v>502</v>
      </c>
      <c r="E5">
        <v>4</v>
      </c>
      <c r="F5">
        <v>38.409999999999997</v>
      </c>
      <c r="G5">
        <v>40.76</v>
      </c>
      <c r="H5">
        <v>0</v>
      </c>
      <c r="I5">
        <v>0</v>
      </c>
      <c r="J5">
        <v>9.4000000000000057</v>
      </c>
      <c r="K5">
        <v>6.1181983858370259E-2</v>
      </c>
    </row>
    <row r="6" spans="1:14" x14ac:dyDescent="0.3">
      <c r="A6" s="34">
        <v>1</v>
      </c>
      <c r="B6" t="s">
        <v>83</v>
      </c>
      <c r="C6" t="s">
        <v>500</v>
      </c>
      <c r="D6" t="s">
        <v>502</v>
      </c>
      <c r="E6">
        <v>4</v>
      </c>
      <c r="F6">
        <v>38.409999999999997</v>
      </c>
      <c r="G6">
        <v>40.76</v>
      </c>
      <c r="H6">
        <v>0</v>
      </c>
      <c r="I6">
        <v>0</v>
      </c>
      <c r="J6">
        <v>9.4000000000000057</v>
      </c>
      <c r="K6">
        <v>6.1181983858370259E-2</v>
      </c>
    </row>
    <row r="7" spans="1:14" x14ac:dyDescent="0.3">
      <c r="A7" s="34">
        <v>1</v>
      </c>
      <c r="B7" t="s">
        <v>84</v>
      </c>
      <c r="C7" t="s">
        <v>500</v>
      </c>
      <c r="D7" t="s">
        <v>502</v>
      </c>
      <c r="E7">
        <v>4</v>
      </c>
      <c r="F7">
        <v>38.409999999999997</v>
      </c>
      <c r="G7">
        <v>40.76</v>
      </c>
      <c r="H7">
        <v>0</v>
      </c>
      <c r="I7">
        <v>0</v>
      </c>
      <c r="J7">
        <v>9.4000000000000057</v>
      </c>
      <c r="K7">
        <v>6.1181983858370259E-2</v>
      </c>
    </row>
    <row r="8" spans="1:14" x14ac:dyDescent="0.3">
      <c r="A8" s="34">
        <v>1</v>
      </c>
      <c r="B8" t="s">
        <v>85</v>
      </c>
      <c r="C8" t="s">
        <v>500</v>
      </c>
      <c r="D8" t="s">
        <v>502</v>
      </c>
      <c r="E8">
        <v>4</v>
      </c>
      <c r="F8">
        <v>38.409999999999997</v>
      </c>
      <c r="G8">
        <v>40.76</v>
      </c>
      <c r="H8">
        <v>0</v>
      </c>
      <c r="I8">
        <v>0</v>
      </c>
      <c r="J8">
        <v>9.4000000000000057</v>
      </c>
      <c r="K8">
        <v>6.1181983858370259E-2</v>
      </c>
    </row>
    <row r="9" spans="1:14" x14ac:dyDescent="0.3">
      <c r="A9" s="34">
        <v>1</v>
      </c>
      <c r="B9" t="s">
        <v>86</v>
      </c>
      <c r="C9" t="s">
        <v>500</v>
      </c>
      <c r="D9" t="s">
        <v>502</v>
      </c>
      <c r="E9">
        <v>4</v>
      </c>
      <c r="F9">
        <v>38.409999999999997</v>
      </c>
      <c r="G9">
        <v>40.76</v>
      </c>
      <c r="H9">
        <v>0</v>
      </c>
      <c r="I9">
        <v>0</v>
      </c>
      <c r="J9">
        <v>9.4000000000000057</v>
      </c>
      <c r="K9">
        <v>6.1181983858370259E-2</v>
      </c>
    </row>
    <row r="10" spans="1:14" x14ac:dyDescent="0.3">
      <c r="A10" s="34">
        <v>1</v>
      </c>
      <c r="B10" t="s">
        <v>87</v>
      </c>
      <c r="C10" t="s">
        <v>500</v>
      </c>
      <c r="D10" t="s">
        <v>502</v>
      </c>
      <c r="E10">
        <v>4</v>
      </c>
      <c r="F10">
        <v>38.409999999999997</v>
      </c>
      <c r="G10">
        <v>40.76</v>
      </c>
      <c r="H10">
        <v>0</v>
      </c>
      <c r="I10">
        <v>0</v>
      </c>
      <c r="J10">
        <v>9.4000000000000057</v>
      </c>
      <c r="K10">
        <v>6.1181983858370259E-2</v>
      </c>
    </row>
    <row r="11" spans="1:14" x14ac:dyDescent="0.3">
      <c r="A11" s="34">
        <v>1</v>
      </c>
      <c r="B11" t="s">
        <v>88</v>
      </c>
      <c r="C11" t="s">
        <v>500</v>
      </c>
      <c r="D11" t="s">
        <v>502</v>
      </c>
      <c r="E11">
        <v>4</v>
      </c>
      <c r="F11">
        <v>38.409999999999997</v>
      </c>
      <c r="G11">
        <v>40.76</v>
      </c>
      <c r="H11">
        <v>0</v>
      </c>
      <c r="I11">
        <v>0</v>
      </c>
      <c r="J11">
        <v>9.4000000000000057</v>
      </c>
      <c r="K11">
        <v>6.1181983858370259E-2</v>
      </c>
    </row>
    <row r="12" spans="1:14" x14ac:dyDescent="0.3">
      <c r="A12" s="34">
        <v>1</v>
      </c>
      <c r="B12" t="s">
        <v>89</v>
      </c>
      <c r="C12" t="s">
        <v>500</v>
      </c>
      <c r="D12" t="s">
        <v>502</v>
      </c>
      <c r="E12">
        <v>4</v>
      </c>
      <c r="F12">
        <v>38.409999999999997</v>
      </c>
      <c r="G12">
        <v>40.76</v>
      </c>
      <c r="H12">
        <v>0</v>
      </c>
      <c r="I12">
        <v>0</v>
      </c>
      <c r="J12">
        <v>9.4000000000000057</v>
      </c>
      <c r="K12">
        <v>6.1181983858370259E-2</v>
      </c>
    </row>
    <row r="13" spans="1:14" x14ac:dyDescent="0.3">
      <c r="A13" s="34">
        <v>1</v>
      </c>
      <c r="B13" t="s">
        <v>90</v>
      </c>
      <c r="C13" t="s">
        <v>500</v>
      </c>
      <c r="D13" t="s">
        <v>502</v>
      </c>
      <c r="E13">
        <v>4</v>
      </c>
      <c r="F13">
        <v>38.409999999999997</v>
      </c>
      <c r="G13">
        <v>40.76</v>
      </c>
      <c r="H13">
        <v>0</v>
      </c>
      <c r="I13">
        <v>0</v>
      </c>
      <c r="J13">
        <v>9.4000000000000057</v>
      </c>
      <c r="K13">
        <v>6.1181983858370259E-2</v>
      </c>
    </row>
    <row r="14" spans="1:14" x14ac:dyDescent="0.3">
      <c r="A14" s="34">
        <v>1</v>
      </c>
      <c r="B14" t="s">
        <v>91</v>
      </c>
      <c r="C14" t="s">
        <v>500</v>
      </c>
      <c r="D14" t="s">
        <v>502</v>
      </c>
      <c r="E14">
        <v>4</v>
      </c>
      <c r="F14">
        <v>38.409999999999997</v>
      </c>
      <c r="G14">
        <v>40.76</v>
      </c>
      <c r="H14">
        <v>0</v>
      </c>
      <c r="I14">
        <v>0</v>
      </c>
      <c r="J14">
        <v>9.4000000000000057</v>
      </c>
      <c r="K14">
        <v>6.1181983858370259E-2</v>
      </c>
    </row>
    <row r="15" spans="1:14" x14ac:dyDescent="0.3">
      <c r="A15" s="34">
        <v>1</v>
      </c>
      <c r="B15" t="s">
        <v>92</v>
      </c>
      <c r="C15" t="s">
        <v>500</v>
      </c>
      <c r="D15" t="s">
        <v>502</v>
      </c>
      <c r="E15">
        <v>4</v>
      </c>
      <c r="F15">
        <v>38.409999999999997</v>
      </c>
      <c r="G15">
        <v>40.76</v>
      </c>
      <c r="H15">
        <v>0</v>
      </c>
      <c r="I15">
        <v>0</v>
      </c>
      <c r="J15">
        <v>9.4000000000000057</v>
      </c>
      <c r="K15">
        <v>6.1181983858370259E-2</v>
      </c>
    </row>
    <row r="16" spans="1:14" x14ac:dyDescent="0.3">
      <c r="A16" s="34">
        <v>1</v>
      </c>
      <c r="B16" t="s">
        <v>93</v>
      </c>
      <c r="C16" t="s">
        <v>500</v>
      </c>
      <c r="D16" t="s">
        <v>502</v>
      </c>
      <c r="E16">
        <v>4</v>
      </c>
      <c r="F16">
        <v>38.409999999999997</v>
      </c>
      <c r="G16">
        <v>40.76</v>
      </c>
      <c r="H16">
        <v>0</v>
      </c>
      <c r="I16">
        <v>0</v>
      </c>
      <c r="J16">
        <v>9.4000000000000057</v>
      </c>
      <c r="K16">
        <v>6.1181983858370259E-2</v>
      </c>
    </row>
    <row r="17" spans="1:11" x14ac:dyDescent="0.3">
      <c r="A17" s="34">
        <v>1</v>
      </c>
      <c r="B17" t="s">
        <v>94</v>
      </c>
      <c r="C17" t="s">
        <v>500</v>
      </c>
      <c r="D17" t="s">
        <v>502</v>
      </c>
      <c r="E17">
        <v>4</v>
      </c>
      <c r="F17">
        <v>38.409999999999997</v>
      </c>
      <c r="G17">
        <v>40.76</v>
      </c>
      <c r="H17">
        <v>0</v>
      </c>
      <c r="I17">
        <v>0</v>
      </c>
      <c r="J17">
        <v>9.4000000000000057</v>
      </c>
      <c r="K17">
        <v>6.1181983858370259E-2</v>
      </c>
    </row>
    <row r="18" spans="1:11" x14ac:dyDescent="0.3">
      <c r="A18" s="34">
        <v>1</v>
      </c>
      <c r="B18" t="s">
        <v>95</v>
      </c>
      <c r="C18" t="s">
        <v>500</v>
      </c>
      <c r="D18" t="s">
        <v>502</v>
      </c>
      <c r="E18">
        <v>4</v>
      </c>
      <c r="F18">
        <v>38.409999999999997</v>
      </c>
      <c r="G18">
        <v>40.76</v>
      </c>
      <c r="H18">
        <v>0</v>
      </c>
      <c r="I18">
        <v>0</v>
      </c>
      <c r="J18">
        <v>9.4000000000000057</v>
      </c>
      <c r="K18">
        <v>6.1181983858370259E-2</v>
      </c>
    </row>
    <row r="19" spans="1:11" x14ac:dyDescent="0.3">
      <c r="A19" s="34">
        <v>1</v>
      </c>
      <c r="B19" t="s">
        <v>96</v>
      </c>
      <c r="C19" t="s">
        <v>500</v>
      </c>
      <c r="D19" t="s">
        <v>502</v>
      </c>
      <c r="E19">
        <v>4</v>
      </c>
      <c r="F19">
        <v>38.409999999999997</v>
      </c>
      <c r="G19">
        <v>40.76</v>
      </c>
      <c r="H19">
        <v>0</v>
      </c>
      <c r="I19">
        <v>0</v>
      </c>
      <c r="J19">
        <v>9.4000000000000057</v>
      </c>
      <c r="K19">
        <v>6.1181983858370259E-2</v>
      </c>
    </row>
    <row r="20" spans="1:11" x14ac:dyDescent="0.3">
      <c r="A20" s="37">
        <v>1</v>
      </c>
      <c r="B20" t="s">
        <v>97</v>
      </c>
      <c r="C20" t="s">
        <v>500</v>
      </c>
      <c r="D20" t="s">
        <v>502</v>
      </c>
      <c r="E20">
        <v>8</v>
      </c>
      <c r="F20">
        <v>38.85</v>
      </c>
      <c r="G20">
        <v>40.76</v>
      </c>
      <c r="H20">
        <v>0</v>
      </c>
      <c r="I20">
        <v>0</v>
      </c>
      <c r="J20">
        <v>15.279999999999969</v>
      </c>
      <c r="K20">
        <v>4.9163449163449072E-2</v>
      </c>
    </row>
    <row r="21" spans="1:11" x14ac:dyDescent="0.3">
      <c r="A21" s="37">
        <v>1</v>
      </c>
      <c r="B21" t="s">
        <v>98</v>
      </c>
      <c r="C21" t="s">
        <v>500</v>
      </c>
      <c r="D21" t="s">
        <v>502</v>
      </c>
      <c r="E21">
        <v>8</v>
      </c>
      <c r="F21">
        <v>38.85</v>
      </c>
      <c r="G21">
        <v>40.76</v>
      </c>
      <c r="H21">
        <v>0</v>
      </c>
      <c r="I21">
        <v>0</v>
      </c>
      <c r="J21">
        <v>15.279999999999969</v>
      </c>
      <c r="K21">
        <v>4.9163449163449072E-2</v>
      </c>
    </row>
    <row r="22" spans="1:11" x14ac:dyDescent="0.3">
      <c r="A22" s="37">
        <v>1</v>
      </c>
      <c r="B22" t="s">
        <v>99</v>
      </c>
      <c r="C22" t="s">
        <v>500</v>
      </c>
      <c r="D22" t="s">
        <v>502</v>
      </c>
      <c r="E22">
        <v>8</v>
      </c>
      <c r="F22">
        <v>38.85</v>
      </c>
      <c r="G22">
        <v>40.76</v>
      </c>
      <c r="H22">
        <v>0</v>
      </c>
      <c r="I22">
        <v>0</v>
      </c>
      <c r="J22">
        <v>15.279999999999969</v>
      </c>
      <c r="K22">
        <v>4.9163449163449072E-2</v>
      </c>
    </row>
    <row r="23" spans="1:11" x14ac:dyDescent="0.3">
      <c r="A23" s="37">
        <v>1</v>
      </c>
      <c r="B23" t="s">
        <v>100</v>
      </c>
      <c r="C23" t="s">
        <v>500</v>
      </c>
      <c r="D23" t="s">
        <v>502</v>
      </c>
      <c r="E23">
        <v>8</v>
      </c>
      <c r="F23">
        <v>38.85</v>
      </c>
      <c r="G23">
        <v>40.76</v>
      </c>
      <c r="H23">
        <v>0</v>
      </c>
      <c r="I23">
        <v>0</v>
      </c>
      <c r="J23">
        <v>15.279999999999969</v>
      </c>
      <c r="K23">
        <v>4.9163449163449072E-2</v>
      </c>
    </row>
    <row r="24" spans="1:11" x14ac:dyDescent="0.3">
      <c r="A24" s="37">
        <v>1</v>
      </c>
      <c r="B24" t="s">
        <v>101</v>
      </c>
      <c r="C24" t="s">
        <v>500</v>
      </c>
      <c r="D24" t="s">
        <v>502</v>
      </c>
      <c r="E24">
        <v>8</v>
      </c>
      <c r="F24">
        <v>38.85</v>
      </c>
      <c r="G24">
        <v>40.76</v>
      </c>
      <c r="H24">
        <v>0</v>
      </c>
      <c r="I24">
        <v>0</v>
      </c>
      <c r="J24">
        <v>15.279999999999969</v>
      </c>
      <c r="K24">
        <v>4.9163449163449072E-2</v>
      </c>
    </row>
    <row r="25" spans="1:11" x14ac:dyDescent="0.3">
      <c r="A25" s="37">
        <v>1</v>
      </c>
      <c r="B25" t="s">
        <v>102</v>
      </c>
      <c r="C25" t="s">
        <v>500</v>
      </c>
      <c r="D25" t="s">
        <v>502</v>
      </c>
      <c r="E25">
        <v>8</v>
      </c>
      <c r="F25">
        <v>38.85</v>
      </c>
      <c r="G25">
        <v>40.76</v>
      </c>
      <c r="H25">
        <v>0</v>
      </c>
      <c r="I25">
        <v>0</v>
      </c>
      <c r="J25">
        <v>15.279999999999969</v>
      </c>
      <c r="K25">
        <v>4.9163449163449072E-2</v>
      </c>
    </row>
    <row r="26" spans="1:11" x14ac:dyDescent="0.3">
      <c r="A26" s="37">
        <v>1</v>
      </c>
      <c r="B26" t="s">
        <v>103</v>
      </c>
      <c r="C26" t="s">
        <v>500</v>
      </c>
      <c r="D26" t="s">
        <v>502</v>
      </c>
      <c r="E26">
        <v>8</v>
      </c>
      <c r="F26">
        <v>38.85</v>
      </c>
      <c r="G26">
        <v>40.738620689655171</v>
      </c>
      <c r="H26">
        <v>0</v>
      </c>
      <c r="I26">
        <v>0</v>
      </c>
      <c r="J26">
        <v>15.10896551724136</v>
      </c>
      <c r="K26">
        <v>4.8613145164869233E-2</v>
      </c>
    </row>
    <row r="27" spans="1:11" x14ac:dyDescent="0.3">
      <c r="A27" s="37">
        <v>1</v>
      </c>
      <c r="B27" t="s">
        <v>104</v>
      </c>
      <c r="C27" t="s">
        <v>500</v>
      </c>
      <c r="D27" t="s">
        <v>502</v>
      </c>
      <c r="E27">
        <v>8</v>
      </c>
      <c r="F27">
        <v>38.85</v>
      </c>
      <c r="G27">
        <v>40.717241379310337</v>
      </c>
      <c r="H27">
        <v>0</v>
      </c>
      <c r="I27">
        <v>0</v>
      </c>
      <c r="J27">
        <v>14.937931034482739</v>
      </c>
      <c r="K27">
        <v>4.8062841166289387E-2</v>
      </c>
    </row>
    <row r="28" spans="1:11" x14ac:dyDescent="0.3">
      <c r="A28" s="37">
        <v>1</v>
      </c>
      <c r="B28" t="s">
        <v>105</v>
      </c>
      <c r="C28" t="s">
        <v>500</v>
      </c>
      <c r="D28" t="s">
        <v>502</v>
      </c>
      <c r="E28">
        <v>8</v>
      </c>
      <c r="F28">
        <v>38.85</v>
      </c>
      <c r="G28">
        <v>40.695862068965518</v>
      </c>
      <c r="H28">
        <v>0</v>
      </c>
      <c r="I28">
        <v>0</v>
      </c>
      <c r="J28">
        <v>14.76689655172413</v>
      </c>
      <c r="K28">
        <v>4.7512537167709562E-2</v>
      </c>
    </row>
    <row r="29" spans="1:11" x14ac:dyDescent="0.3">
      <c r="A29" s="37">
        <v>1</v>
      </c>
      <c r="B29" t="s">
        <v>106</v>
      </c>
      <c r="C29" t="s">
        <v>500</v>
      </c>
      <c r="D29" t="s">
        <v>502</v>
      </c>
      <c r="E29">
        <v>8</v>
      </c>
      <c r="F29">
        <v>38.85</v>
      </c>
      <c r="G29">
        <v>40.674482758620691</v>
      </c>
      <c r="H29">
        <v>0</v>
      </c>
      <c r="I29">
        <v>0</v>
      </c>
      <c r="J29">
        <v>14.59586206896552</v>
      </c>
      <c r="K29">
        <v>4.6962233169129723E-2</v>
      </c>
    </row>
    <row r="30" spans="1:11" x14ac:dyDescent="0.3">
      <c r="A30" s="37">
        <v>1</v>
      </c>
      <c r="B30" t="s">
        <v>107</v>
      </c>
      <c r="C30" t="s">
        <v>500</v>
      </c>
      <c r="D30" t="s">
        <v>502</v>
      </c>
      <c r="E30">
        <v>8</v>
      </c>
      <c r="F30">
        <v>38.85</v>
      </c>
      <c r="G30">
        <v>40.653103448275857</v>
      </c>
      <c r="H30">
        <v>0</v>
      </c>
      <c r="I30">
        <v>0</v>
      </c>
      <c r="J30">
        <v>14.424827586206851</v>
      </c>
      <c r="K30">
        <v>4.6411929170549697E-2</v>
      </c>
    </row>
    <row r="31" spans="1:11" x14ac:dyDescent="0.3">
      <c r="A31" s="37">
        <v>1</v>
      </c>
      <c r="B31" t="s">
        <v>108</v>
      </c>
      <c r="C31" t="s">
        <v>500</v>
      </c>
      <c r="D31" t="s">
        <v>502</v>
      </c>
      <c r="E31">
        <v>8</v>
      </c>
      <c r="F31">
        <v>38.85</v>
      </c>
      <c r="G31">
        <v>40.63172413793103</v>
      </c>
      <c r="H31">
        <v>0</v>
      </c>
      <c r="I31">
        <v>0</v>
      </c>
      <c r="J31">
        <v>14.253793103448229</v>
      </c>
      <c r="K31">
        <v>4.5861625171969851E-2</v>
      </c>
    </row>
    <row r="32" spans="1:11" x14ac:dyDescent="0.3">
      <c r="A32" s="37">
        <v>1</v>
      </c>
      <c r="B32" t="s">
        <v>109</v>
      </c>
      <c r="C32" t="s">
        <v>500</v>
      </c>
      <c r="D32" t="s">
        <v>502</v>
      </c>
      <c r="E32">
        <v>8</v>
      </c>
      <c r="F32">
        <v>38.85</v>
      </c>
      <c r="G32">
        <v>40.610344827586196</v>
      </c>
      <c r="H32">
        <v>0</v>
      </c>
      <c r="I32">
        <v>0</v>
      </c>
      <c r="J32">
        <v>14.082758620689621</v>
      </c>
      <c r="K32">
        <v>4.5311321173390012E-2</v>
      </c>
    </row>
    <row r="33" spans="1:11" x14ac:dyDescent="0.3">
      <c r="A33" s="37">
        <v>1</v>
      </c>
      <c r="B33" t="s">
        <v>110</v>
      </c>
      <c r="C33" t="s">
        <v>500</v>
      </c>
      <c r="D33" t="s">
        <v>502</v>
      </c>
      <c r="E33">
        <v>8</v>
      </c>
      <c r="F33">
        <v>38.85</v>
      </c>
      <c r="G33">
        <v>40.588965517241377</v>
      </c>
      <c r="H33">
        <v>0</v>
      </c>
      <c r="I33">
        <v>0</v>
      </c>
      <c r="J33">
        <v>13.911724137930999</v>
      </c>
      <c r="K33">
        <v>4.4761017174810173E-2</v>
      </c>
    </row>
    <row r="34" spans="1:11" x14ac:dyDescent="0.3">
      <c r="A34" s="37">
        <v>1</v>
      </c>
      <c r="B34" t="s">
        <v>111</v>
      </c>
      <c r="C34" t="s">
        <v>500</v>
      </c>
      <c r="D34" t="s">
        <v>502</v>
      </c>
      <c r="E34">
        <v>8</v>
      </c>
      <c r="F34">
        <v>38.85</v>
      </c>
      <c r="G34">
        <v>40.56758620689655</v>
      </c>
      <c r="H34">
        <v>0</v>
      </c>
      <c r="I34">
        <v>0</v>
      </c>
      <c r="J34">
        <v>13.740689655172391</v>
      </c>
      <c r="K34">
        <v>4.4210713176230328E-2</v>
      </c>
    </row>
    <row r="35" spans="1:11" x14ac:dyDescent="0.3">
      <c r="A35" s="37">
        <v>1</v>
      </c>
      <c r="B35" t="s">
        <v>112</v>
      </c>
      <c r="C35" t="s">
        <v>500</v>
      </c>
      <c r="D35" t="s">
        <v>502</v>
      </c>
      <c r="E35">
        <v>8</v>
      </c>
      <c r="F35">
        <v>38.85</v>
      </c>
      <c r="G35">
        <v>40.546206896551723</v>
      </c>
      <c r="H35">
        <v>0</v>
      </c>
      <c r="I35">
        <v>0</v>
      </c>
      <c r="J35">
        <v>13.56965517241377</v>
      </c>
      <c r="K35">
        <v>4.3660409177650503E-2</v>
      </c>
    </row>
    <row r="36" spans="1:11" x14ac:dyDescent="0.3">
      <c r="A36" s="37">
        <v>1</v>
      </c>
      <c r="B36" t="s">
        <v>113</v>
      </c>
      <c r="C36" t="s">
        <v>500</v>
      </c>
      <c r="D36" t="s">
        <v>502</v>
      </c>
      <c r="E36">
        <v>8</v>
      </c>
      <c r="F36">
        <v>38.85</v>
      </c>
      <c r="G36">
        <v>40.524827586206897</v>
      </c>
      <c r="H36">
        <v>0</v>
      </c>
      <c r="I36">
        <v>0</v>
      </c>
      <c r="J36">
        <v>13.398620689655161</v>
      </c>
      <c r="K36">
        <v>4.3110105179070657E-2</v>
      </c>
    </row>
    <row r="37" spans="1:11" x14ac:dyDescent="0.3">
      <c r="A37" s="37">
        <v>1</v>
      </c>
      <c r="B37" t="s">
        <v>114</v>
      </c>
      <c r="C37" t="s">
        <v>500</v>
      </c>
      <c r="D37" t="s">
        <v>502</v>
      </c>
      <c r="E37">
        <v>8</v>
      </c>
      <c r="F37">
        <v>38.85</v>
      </c>
      <c r="G37">
        <v>40.50344827586207</v>
      </c>
      <c r="H37">
        <v>0</v>
      </c>
      <c r="I37">
        <v>0</v>
      </c>
      <c r="J37">
        <v>13.22758620689655</v>
      </c>
      <c r="K37">
        <v>4.2559801180490818E-2</v>
      </c>
    </row>
    <row r="38" spans="1:11" x14ac:dyDescent="0.3">
      <c r="A38" s="37">
        <v>1</v>
      </c>
      <c r="B38" t="s">
        <v>115</v>
      </c>
      <c r="C38" t="s">
        <v>500</v>
      </c>
      <c r="D38" t="s">
        <v>502</v>
      </c>
      <c r="E38">
        <v>8</v>
      </c>
      <c r="F38">
        <v>38.85</v>
      </c>
      <c r="G38">
        <v>40.482068965517243</v>
      </c>
      <c r="H38">
        <v>0</v>
      </c>
      <c r="I38">
        <v>0</v>
      </c>
      <c r="J38">
        <v>13.056551724137931</v>
      </c>
      <c r="K38">
        <v>4.2009497181910979E-2</v>
      </c>
    </row>
    <row r="39" spans="1:11" x14ac:dyDescent="0.3">
      <c r="A39" s="37">
        <v>1</v>
      </c>
      <c r="B39" t="s">
        <v>116</v>
      </c>
      <c r="C39" t="s">
        <v>500</v>
      </c>
      <c r="D39" t="s">
        <v>502</v>
      </c>
      <c r="E39">
        <v>8</v>
      </c>
      <c r="F39">
        <v>38.85</v>
      </c>
      <c r="G39">
        <v>40.460689655172423</v>
      </c>
      <c r="H39">
        <v>0</v>
      </c>
      <c r="I39">
        <v>0</v>
      </c>
      <c r="J39">
        <v>12.88551724137932</v>
      </c>
      <c r="K39">
        <v>4.145919318333114E-2</v>
      </c>
    </row>
    <row r="40" spans="1:11" x14ac:dyDescent="0.3">
      <c r="A40" s="37">
        <v>1</v>
      </c>
      <c r="B40" t="s">
        <v>117</v>
      </c>
      <c r="C40" t="s">
        <v>500</v>
      </c>
      <c r="D40" t="s">
        <v>502</v>
      </c>
      <c r="E40">
        <v>8</v>
      </c>
      <c r="F40">
        <v>38.85</v>
      </c>
      <c r="G40">
        <v>40.439310344827582</v>
      </c>
      <c r="H40">
        <v>0</v>
      </c>
      <c r="I40">
        <v>0</v>
      </c>
      <c r="J40">
        <v>12.714482758620649</v>
      </c>
      <c r="K40">
        <v>4.0908889184751107E-2</v>
      </c>
    </row>
    <row r="41" spans="1:11" x14ac:dyDescent="0.3">
      <c r="A41" s="37">
        <v>1</v>
      </c>
      <c r="B41" t="s">
        <v>118</v>
      </c>
      <c r="C41" t="s">
        <v>500</v>
      </c>
      <c r="D41" t="s">
        <v>502</v>
      </c>
      <c r="E41">
        <v>8</v>
      </c>
      <c r="F41">
        <v>38.85</v>
      </c>
      <c r="G41">
        <v>40.417931034482763</v>
      </c>
      <c r="H41">
        <v>0</v>
      </c>
      <c r="I41">
        <v>0</v>
      </c>
      <c r="J41">
        <v>12.54344827586203</v>
      </c>
      <c r="K41">
        <v>4.0358585186171282E-2</v>
      </c>
    </row>
    <row r="42" spans="1:11" x14ac:dyDescent="0.3">
      <c r="A42" s="37">
        <v>1</v>
      </c>
      <c r="B42" t="s">
        <v>119</v>
      </c>
      <c r="C42" t="s">
        <v>500</v>
      </c>
      <c r="D42" t="s">
        <v>502</v>
      </c>
      <c r="E42">
        <v>8</v>
      </c>
      <c r="F42">
        <v>38.85</v>
      </c>
      <c r="G42">
        <v>40.396551724137929</v>
      </c>
      <c r="H42">
        <v>0</v>
      </c>
      <c r="I42">
        <v>0</v>
      </c>
      <c r="J42">
        <v>12.372413793103419</v>
      </c>
      <c r="K42">
        <v>3.9808281187591443E-2</v>
      </c>
    </row>
    <row r="43" spans="1:11" x14ac:dyDescent="0.3">
      <c r="A43" s="37">
        <v>1</v>
      </c>
      <c r="B43" t="s">
        <v>120</v>
      </c>
      <c r="C43" t="s">
        <v>500</v>
      </c>
      <c r="D43" t="s">
        <v>502</v>
      </c>
      <c r="E43">
        <v>8</v>
      </c>
      <c r="F43">
        <v>38.85</v>
      </c>
      <c r="G43">
        <v>40.375172413793102</v>
      </c>
      <c r="H43">
        <v>0</v>
      </c>
      <c r="I43">
        <v>0</v>
      </c>
      <c r="J43">
        <v>12.20137931034481</v>
      </c>
      <c r="K43">
        <v>3.9257977189011597E-2</v>
      </c>
    </row>
    <row r="44" spans="1:11" x14ac:dyDescent="0.3">
      <c r="A44" s="37">
        <v>1</v>
      </c>
      <c r="B44" t="s">
        <v>121</v>
      </c>
      <c r="C44" t="s">
        <v>500</v>
      </c>
      <c r="D44" t="s">
        <v>502</v>
      </c>
      <c r="E44">
        <v>8</v>
      </c>
      <c r="F44">
        <v>38.85</v>
      </c>
      <c r="G44">
        <v>40.353793103448282</v>
      </c>
      <c r="H44">
        <v>0</v>
      </c>
      <c r="I44">
        <v>0</v>
      </c>
      <c r="J44">
        <v>12.030344827586189</v>
      </c>
      <c r="K44">
        <v>3.8707673190431759E-2</v>
      </c>
    </row>
    <row r="45" spans="1:11" x14ac:dyDescent="0.3">
      <c r="A45" s="37">
        <v>1</v>
      </c>
      <c r="B45" t="s">
        <v>122</v>
      </c>
      <c r="C45" t="s">
        <v>500</v>
      </c>
      <c r="D45" t="s">
        <v>502</v>
      </c>
      <c r="E45">
        <v>8</v>
      </c>
      <c r="F45">
        <v>38.85</v>
      </c>
      <c r="G45">
        <v>40.332413793103449</v>
      </c>
      <c r="H45">
        <v>0</v>
      </c>
      <c r="I45">
        <v>0</v>
      </c>
      <c r="J45">
        <v>11.859310344827581</v>
      </c>
      <c r="K45">
        <v>3.815736919185192E-2</v>
      </c>
    </row>
    <row r="46" spans="1:11" x14ac:dyDescent="0.3">
      <c r="A46" s="37">
        <v>1</v>
      </c>
      <c r="B46" t="s">
        <v>123</v>
      </c>
      <c r="C46" t="s">
        <v>500</v>
      </c>
      <c r="D46" t="s">
        <v>502</v>
      </c>
      <c r="E46">
        <v>8</v>
      </c>
      <c r="F46">
        <v>38.85</v>
      </c>
      <c r="G46">
        <v>40.311034482758622</v>
      </c>
      <c r="H46">
        <v>0</v>
      </c>
      <c r="I46">
        <v>0</v>
      </c>
      <c r="J46">
        <v>11.688275862068959</v>
      </c>
      <c r="K46">
        <v>3.7607065193272081E-2</v>
      </c>
    </row>
    <row r="47" spans="1:11" x14ac:dyDescent="0.3">
      <c r="A47" s="37">
        <v>1</v>
      </c>
      <c r="B47" t="s">
        <v>124</v>
      </c>
      <c r="C47" t="s">
        <v>500</v>
      </c>
      <c r="D47" t="s">
        <v>502</v>
      </c>
      <c r="E47">
        <v>8</v>
      </c>
      <c r="F47">
        <v>38.85</v>
      </c>
      <c r="G47">
        <v>40.289655172413802</v>
      </c>
      <c r="H47">
        <v>0</v>
      </c>
      <c r="I47">
        <v>0</v>
      </c>
      <c r="J47">
        <v>11.517241379310351</v>
      </c>
      <c r="K47">
        <v>3.7056761194692242E-2</v>
      </c>
    </row>
    <row r="48" spans="1:11" x14ac:dyDescent="0.3">
      <c r="A48" s="37">
        <v>1</v>
      </c>
      <c r="B48" t="s">
        <v>125</v>
      </c>
      <c r="C48" t="s">
        <v>500</v>
      </c>
      <c r="D48" t="s">
        <v>502</v>
      </c>
      <c r="E48">
        <v>8</v>
      </c>
      <c r="F48">
        <v>38.85</v>
      </c>
      <c r="G48">
        <v>40.268275862068968</v>
      </c>
      <c r="H48">
        <v>0</v>
      </c>
      <c r="I48">
        <v>0</v>
      </c>
      <c r="J48">
        <v>11.346206896551729</v>
      </c>
      <c r="K48">
        <v>3.6506457196112403E-2</v>
      </c>
    </row>
    <row r="49" spans="1:11" x14ac:dyDescent="0.3">
      <c r="A49" s="37">
        <v>1</v>
      </c>
      <c r="B49" t="s">
        <v>126</v>
      </c>
      <c r="C49" t="s">
        <v>500</v>
      </c>
      <c r="D49" t="s">
        <v>502</v>
      </c>
      <c r="E49">
        <v>8</v>
      </c>
      <c r="F49">
        <v>38.85</v>
      </c>
      <c r="G49">
        <v>40.246896551724141</v>
      </c>
      <c r="H49">
        <v>0</v>
      </c>
      <c r="I49">
        <v>0</v>
      </c>
      <c r="J49">
        <v>11.175172413793121</v>
      </c>
      <c r="K49">
        <v>3.5956153197532557E-2</v>
      </c>
    </row>
    <row r="50" spans="1:11" x14ac:dyDescent="0.3">
      <c r="A50" s="37">
        <v>1</v>
      </c>
      <c r="B50" t="s">
        <v>127</v>
      </c>
      <c r="C50" t="s">
        <v>500</v>
      </c>
      <c r="D50" t="s">
        <v>502</v>
      </c>
      <c r="E50">
        <v>8</v>
      </c>
      <c r="F50">
        <v>38.85</v>
      </c>
      <c r="G50">
        <v>40.225517241379308</v>
      </c>
      <c r="H50">
        <v>0</v>
      </c>
      <c r="I50">
        <v>0</v>
      </c>
      <c r="J50">
        <v>11.00413793103445</v>
      </c>
      <c r="K50">
        <v>3.5405849198952538E-2</v>
      </c>
    </row>
    <row r="51" spans="1:11" x14ac:dyDescent="0.3">
      <c r="A51" s="37">
        <v>1</v>
      </c>
      <c r="B51" t="s">
        <v>128</v>
      </c>
      <c r="C51" t="s">
        <v>500</v>
      </c>
      <c r="D51" t="s">
        <v>502</v>
      </c>
      <c r="E51">
        <v>8</v>
      </c>
      <c r="F51">
        <v>38.85</v>
      </c>
      <c r="G51">
        <v>40.204137931034481</v>
      </c>
      <c r="H51">
        <v>0</v>
      </c>
      <c r="I51">
        <v>0</v>
      </c>
      <c r="J51">
        <v>10.833103448275841</v>
      </c>
      <c r="K51">
        <v>3.4855545200372699E-2</v>
      </c>
    </row>
    <row r="52" spans="1:11" x14ac:dyDescent="0.3">
      <c r="A52" s="37">
        <v>1</v>
      </c>
      <c r="B52" t="s">
        <v>129</v>
      </c>
      <c r="C52" t="s">
        <v>500</v>
      </c>
      <c r="D52" t="s">
        <v>502</v>
      </c>
      <c r="E52">
        <v>8</v>
      </c>
      <c r="F52">
        <v>38.85</v>
      </c>
      <c r="G52">
        <v>40.182758620689647</v>
      </c>
      <c r="H52">
        <v>0</v>
      </c>
      <c r="I52">
        <v>0</v>
      </c>
      <c r="J52">
        <v>10.66206896551722</v>
      </c>
      <c r="K52">
        <v>3.430524120179286E-2</v>
      </c>
    </row>
    <row r="53" spans="1:11" x14ac:dyDescent="0.3">
      <c r="A53" s="37">
        <v>1</v>
      </c>
      <c r="B53" t="s">
        <v>130</v>
      </c>
      <c r="C53" t="s">
        <v>500</v>
      </c>
      <c r="D53" t="s">
        <v>502</v>
      </c>
      <c r="E53">
        <v>8</v>
      </c>
      <c r="F53">
        <v>38.85</v>
      </c>
      <c r="G53">
        <v>40.161379310344827</v>
      </c>
      <c r="H53">
        <v>0</v>
      </c>
      <c r="I53">
        <v>0</v>
      </c>
      <c r="J53">
        <v>10.491034482758611</v>
      </c>
      <c r="K53">
        <v>3.3754937203213022E-2</v>
      </c>
    </row>
    <row r="54" spans="1:11" x14ac:dyDescent="0.3">
      <c r="A54" s="37">
        <v>1</v>
      </c>
      <c r="B54" t="s">
        <v>131</v>
      </c>
      <c r="C54" t="s">
        <v>500</v>
      </c>
      <c r="D54" t="s">
        <v>502</v>
      </c>
      <c r="E54">
        <v>8</v>
      </c>
      <c r="F54">
        <v>38.85</v>
      </c>
      <c r="G54">
        <v>40.14</v>
      </c>
      <c r="H54">
        <v>0</v>
      </c>
      <c r="I54">
        <v>0</v>
      </c>
      <c r="J54">
        <v>10.31999999999999</v>
      </c>
      <c r="K54">
        <v>3.3204633204633183E-2</v>
      </c>
    </row>
    <row r="55" spans="1:11" x14ac:dyDescent="0.3">
      <c r="A55" s="37">
        <v>1</v>
      </c>
      <c r="B55" t="s">
        <v>132</v>
      </c>
      <c r="C55" t="s">
        <v>500</v>
      </c>
      <c r="D55" t="s">
        <v>502</v>
      </c>
      <c r="E55">
        <v>8</v>
      </c>
      <c r="F55">
        <v>38.85</v>
      </c>
      <c r="G55">
        <v>40.040714285714287</v>
      </c>
      <c r="H55">
        <v>0</v>
      </c>
      <c r="I55">
        <v>0</v>
      </c>
      <c r="J55">
        <v>9.5257142857142867</v>
      </c>
      <c r="K55">
        <v>3.0649016363302081E-2</v>
      </c>
    </row>
    <row r="56" spans="1:11" x14ac:dyDescent="0.3">
      <c r="A56" s="37">
        <v>1</v>
      </c>
      <c r="B56" t="s">
        <v>133</v>
      </c>
      <c r="C56" t="s">
        <v>500</v>
      </c>
      <c r="D56" t="s">
        <v>502</v>
      </c>
      <c r="E56">
        <v>8</v>
      </c>
      <c r="F56">
        <v>38.85</v>
      </c>
      <c r="G56">
        <v>39.941428571428567</v>
      </c>
      <c r="H56">
        <v>0</v>
      </c>
      <c r="I56">
        <v>0</v>
      </c>
      <c r="J56">
        <v>8.7314285714285802</v>
      </c>
      <c r="K56">
        <v>2.8093399521970978E-2</v>
      </c>
    </row>
    <row r="57" spans="1:11" x14ac:dyDescent="0.3">
      <c r="A57" s="37">
        <v>1</v>
      </c>
      <c r="B57" t="s">
        <v>134</v>
      </c>
      <c r="C57" t="s">
        <v>500</v>
      </c>
      <c r="D57" t="s">
        <v>502</v>
      </c>
      <c r="E57">
        <v>8</v>
      </c>
      <c r="F57">
        <v>38.85</v>
      </c>
      <c r="G57">
        <v>39.842142857142861</v>
      </c>
      <c r="H57">
        <v>0</v>
      </c>
      <c r="I57">
        <v>0</v>
      </c>
      <c r="J57">
        <v>7.9371428571428737</v>
      </c>
      <c r="K57">
        <v>2.553778268063988E-2</v>
      </c>
    </row>
    <row r="58" spans="1:11" x14ac:dyDescent="0.3">
      <c r="A58" s="37">
        <v>1</v>
      </c>
      <c r="B58" t="s">
        <v>135</v>
      </c>
      <c r="C58" t="s">
        <v>500</v>
      </c>
      <c r="D58" t="s">
        <v>502</v>
      </c>
      <c r="E58">
        <v>8</v>
      </c>
      <c r="F58">
        <v>38.85</v>
      </c>
      <c r="G58">
        <v>39.74285714285714</v>
      </c>
      <c r="H58">
        <v>0</v>
      </c>
      <c r="I58">
        <v>0</v>
      </c>
      <c r="J58">
        <v>7.1428571428571104</v>
      </c>
      <c r="K58">
        <v>2.298216583930859E-2</v>
      </c>
    </row>
    <row r="59" spans="1:11" x14ac:dyDescent="0.3">
      <c r="A59" s="37">
        <v>1</v>
      </c>
      <c r="B59" t="s">
        <v>136</v>
      </c>
      <c r="C59" t="s">
        <v>500</v>
      </c>
      <c r="D59" t="s">
        <v>502</v>
      </c>
      <c r="E59">
        <v>8</v>
      </c>
      <c r="F59">
        <v>38.85</v>
      </c>
      <c r="G59">
        <v>39.643571428571427</v>
      </c>
      <c r="H59">
        <v>0</v>
      </c>
      <c r="I59">
        <v>0</v>
      </c>
      <c r="J59">
        <v>6.3485714285714039</v>
      </c>
      <c r="K59">
        <v>2.0426548997977492E-2</v>
      </c>
    </row>
    <row r="60" spans="1:11" x14ac:dyDescent="0.3">
      <c r="A60" s="37">
        <v>1</v>
      </c>
      <c r="B60" t="s">
        <v>137</v>
      </c>
      <c r="C60" t="s">
        <v>500</v>
      </c>
      <c r="D60" t="s">
        <v>502</v>
      </c>
      <c r="E60">
        <v>8</v>
      </c>
      <c r="F60">
        <v>38.85</v>
      </c>
      <c r="G60">
        <v>39.544285714285706</v>
      </c>
      <c r="H60">
        <v>0</v>
      </c>
      <c r="I60">
        <v>0</v>
      </c>
      <c r="J60">
        <v>5.5542857142856974</v>
      </c>
      <c r="K60">
        <v>1.7870932156646389E-2</v>
      </c>
    </row>
    <row r="61" spans="1:11" x14ac:dyDescent="0.3">
      <c r="A61" s="37">
        <v>1</v>
      </c>
      <c r="B61" t="s">
        <v>138</v>
      </c>
      <c r="C61" t="s">
        <v>500</v>
      </c>
      <c r="D61" t="s">
        <v>502</v>
      </c>
      <c r="E61">
        <v>8</v>
      </c>
      <c r="F61">
        <v>38.85</v>
      </c>
      <c r="G61">
        <v>39.445</v>
      </c>
      <c r="H61">
        <v>0</v>
      </c>
      <c r="I61">
        <v>0</v>
      </c>
      <c r="J61">
        <v>4.7599999999999909</v>
      </c>
      <c r="K61">
        <v>1.5315315315315291E-2</v>
      </c>
    </row>
    <row r="62" spans="1:11" x14ac:dyDescent="0.3">
      <c r="A62" s="37">
        <v>1</v>
      </c>
      <c r="B62" t="s">
        <v>139</v>
      </c>
      <c r="C62" t="s">
        <v>500</v>
      </c>
      <c r="D62" t="s">
        <v>502</v>
      </c>
      <c r="E62">
        <v>8</v>
      </c>
      <c r="F62">
        <v>38.85</v>
      </c>
      <c r="G62">
        <v>39.345714285714287</v>
      </c>
      <c r="H62">
        <v>0</v>
      </c>
      <c r="I62">
        <v>0</v>
      </c>
      <c r="J62">
        <v>3.965714285714284</v>
      </c>
      <c r="K62">
        <v>1.275969847398418E-2</v>
      </c>
    </row>
    <row r="63" spans="1:11" x14ac:dyDescent="0.3">
      <c r="A63" s="37">
        <v>1</v>
      </c>
      <c r="B63" t="s">
        <v>140</v>
      </c>
      <c r="C63" t="s">
        <v>500</v>
      </c>
      <c r="D63" t="s">
        <v>502</v>
      </c>
      <c r="E63">
        <v>8</v>
      </c>
      <c r="F63">
        <v>38.85</v>
      </c>
      <c r="G63">
        <v>39.246428571428567</v>
      </c>
      <c r="H63">
        <v>0</v>
      </c>
      <c r="I63">
        <v>0</v>
      </c>
      <c r="J63">
        <v>3.1714285714285779</v>
      </c>
      <c r="K63">
        <v>1.0204081632653079E-2</v>
      </c>
    </row>
    <row r="64" spans="1:11" x14ac:dyDescent="0.3">
      <c r="A64" s="37">
        <v>1</v>
      </c>
      <c r="B64" t="s">
        <v>141</v>
      </c>
      <c r="C64" t="s">
        <v>500</v>
      </c>
      <c r="D64" t="s">
        <v>502</v>
      </c>
      <c r="E64">
        <v>8</v>
      </c>
      <c r="F64">
        <v>38.85</v>
      </c>
      <c r="G64">
        <v>39.14714285714286</v>
      </c>
      <c r="H64">
        <v>0</v>
      </c>
      <c r="I64">
        <v>0</v>
      </c>
      <c r="J64">
        <v>2.377142857142871</v>
      </c>
      <c r="K64">
        <v>7.6484647913219799E-3</v>
      </c>
    </row>
    <row r="65" spans="1:11" x14ac:dyDescent="0.3">
      <c r="A65" s="37">
        <v>1</v>
      </c>
      <c r="B65" t="s">
        <v>142</v>
      </c>
      <c r="C65" t="s">
        <v>500</v>
      </c>
      <c r="D65" t="s">
        <v>502</v>
      </c>
      <c r="E65">
        <v>13</v>
      </c>
      <c r="F65">
        <v>37.520000000000003</v>
      </c>
      <c r="G65">
        <v>39.04785714285714</v>
      </c>
      <c r="H65">
        <v>0</v>
      </c>
      <c r="I65">
        <v>0</v>
      </c>
      <c r="J65">
        <v>19.862142857142778</v>
      </c>
      <c r="K65">
        <v>4.0721139201949273E-2</v>
      </c>
    </row>
    <row r="66" spans="1:11" x14ac:dyDescent="0.3">
      <c r="A66" s="37">
        <v>1</v>
      </c>
      <c r="B66" t="s">
        <v>143</v>
      </c>
      <c r="C66" t="s">
        <v>500</v>
      </c>
      <c r="D66" t="s">
        <v>502</v>
      </c>
      <c r="E66">
        <v>13</v>
      </c>
      <c r="F66">
        <v>37.520000000000003</v>
      </c>
      <c r="G66">
        <v>38.948571428571427</v>
      </c>
      <c r="H66">
        <v>0</v>
      </c>
      <c r="I66">
        <v>0</v>
      </c>
      <c r="J66">
        <v>18.571428571428509</v>
      </c>
      <c r="K66">
        <v>3.8074931465123217E-2</v>
      </c>
    </row>
    <row r="67" spans="1:11" x14ac:dyDescent="0.3">
      <c r="A67" s="37">
        <v>1</v>
      </c>
      <c r="B67" t="s">
        <v>144</v>
      </c>
      <c r="C67" t="s">
        <v>500</v>
      </c>
      <c r="D67" t="s">
        <v>502</v>
      </c>
      <c r="E67">
        <v>13</v>
      </c>
      <c r="F67">
        <v>37.520000000000003</v>
      </c>
      <c r="G67">
        <v>38.849285714285713</v>
      </c>
      <c r="H67">
        <v>0</v>
      </c>
      <c r="I67">
        <v>0</v>
      </c>
      <c r="J67">
        <v>17.280714285714229</v>
      </c>
      <c r="K67">
        <v>3.5428723728297168E-2</v>
      </c>
    </row>
    <row r="68" spans="1:11" x14ac:dyDescent="0.3">
      <c r="A68" s="37">
        <v>1</v>
      </c>
      <c r="B68" t="s">
        <v>145</v>
      </c>
      <c r="C68" t="s">
        <v>500</v>
      </c>
      <c r="D68" t="s">
        <v>502</v>
      </c>
      <c r="E68">
        <v>13</v>
      </c>
      <c r="F68">
        <v>37.520000000000003</v>
      </c>
      <c r="G68">
        <v>38.75</v>
      </c>
      <c r="H68">
        <v>0</v>
      </c>
      <c r="I68">
        <v>0</v>
      </c>
      <c r="J68">
        <v>15.989999999999959</v>
      </c>
      <c r="K68">
        <v>3.2782515991471133E-2</v>
      </c>
    </row>
    <row r="69" spans="1:11" x14ac:dyDescent="0.3">
      <c r="A69" s="37">
        <v>1</v>
      </c>
      <c r="B69" t="s">
        <v>146</v>
      </c>
      <c r="C69" t="s">
        <v>500</v>
      </c>
      <c r="D69" t="s">
        <v>502</v>
      </c>
      <c r="E69">
        <v>13</v>
      </c>
      <c r="F69">
        <v>37.520000000000003</v>
      </c>
      <c r="G69">
        <v>38.650714285714287</v>
      </c>
      <c r="H69">
        <v>0</v>
      </c>
      <c r="I69">
        <v>0</v>
      </c>
      <c r="J69">
        <v>14.69928571428569</v>
      </c>
      <c r="K69">
        <v>3.013630825464508E-2</v>
      </c>
    </row>
    <row r="70" spans="1:11" x14ac:dyDescent="0.3">
      <c r="A70" s="37">
        <v>1</v>
      </c>
      <c r="B70" t="s">
        <v>147</v>
      </c>
      <c r="C70" t="s">
        <v>500</v>
      </c>
      <c r="D70" t="s">
        <v>502</v>
      </c>
      <c r="E70">
        <v>13</v>
      </c>
      <c r="F70">
        <v>37.520000000000003</v>
      </c>
      <c r="G70">
        <v>38.551428571428573</v>
      </c>
      <c r="H70">
        <v>0</v>
      </c>
      <c r="I70">
        <v>0</v>
      </c>
      <c r="J70">
        <v>13.40857142857141</v>
      </c>
      <c r="K70">
        <v>2.7490100517819031E-2</v>
      </c>
    </row>
    <row r="71" spans="1:11" x14ac:dyDescent="0.3">
      <c r="A71" s="37">
        <v>1</v>
      </c>
      <c r="B71" t="s">
        <v>148</v>
      </c>
      <c r="C71" t="s">
        <v>500</v>
      </c>
      <c r="D71" t="s">
        <v>502</v>
      </c>
      <c r="E71">
        <v>13</v>
      </c>
      <c r="F71">
        <v>37.520000000000003</v>
      </c>
      <c r="G71">
        <v>38.45214285714286</v>
      </c>
      <c r="H71">
        <v>0</v>
      </c>
      <c r="I71">
        <v>0</v>
      </c>
      <c r="J71">
        <v>12.11785714285714</v>
      </c>
      <c r="K71">
        <v>2.4843892780992981E-2</v>
      </c>
    </row>
    <row r="72" spans="1:11" x14ac:dyDescent="0.3">
      <c r="A72" s="37">
        <v>1</v>
      </c>
      <c r="B72" t="s">
        <v>149</v>
      </c>
      <c r="C72" t="s">
        <v>500</v>
      </c>
      <c r="D72" t="s">
        <v>502</v>
      </c>
      <c r="E72">
        <v>13</v>
      </c>
      <c r="F72">
        <v>37.520000000000003</v>
      </c>
      <c r="G72">
        <v>38.35285714285714</v>
      </c>
      <c r="H72">
        <v>0</v>
      </c>
      <c r="I72">
        <v>0</v>
      </c>
      <c r="J72">
        <v>10.827142857142769</v>
      </c>
      <c r="K72">
        <v>2.2197685044166748E-2</v>
      </c>
    </row>
    <row r="73" spans="1:11" x14ac:dyDescent="0.3">
      <c r="A73" s="37">
        <v>1</v>
      </c>
      <c r="B73" t="s">
        <v>150</v>
      </c>
      <c r="C73" t="s">
        <v>500</v>
      </c>
      <c r="D73" t="s">
        <v>502</v>
      </c>
      <c r="E73">
        <v>13</v>
      </c>
      <c r="F73">
        <v>37.520000000000003</v>
      </c>
      <c r="G73">
        <v>38.253571428571433</v>
      </c>
      <c r="H73">
        <v>0</v>
      </c>
      <c r="I73">
        <v>0</v>
      </c>
      <c r="J73">
        <v>9.5364285714285018</v>
      </c>
      <c r="K73">
        <v>1.9551477307340699E-2</v>
      </c>
    </row>
    <row r="74" spans="1:11" x14ac:dyDescent="0.3">
      <c r="A74" s="37">
        <v>1</v>
      </c>
      <c r="B74" t="s">
        <v>151</v>
      </c>
      <c r="C74" t="s">
        <v>500</v>
      </c>
      <c r="D74" t="s">
        <v>502</v>
      </c>
      <c r="E74">
        <v>13</v>
      </c>
      <c r="F74">
        <v>37.520000000000003</v>
      </c>
      <c r="G74">
        <v>38.154285714285713</v>
      </c>
      <c r="H74">
        <v>0</v>
      </c>
      <c r="I74">
        <v>0</v>
      </c>
      <c r="J74">
        <v>8.2457142857142287</v>
      </c>
      <c r="K74">
        <v>1.690526957051465E-2</v>
      </c>
    </row>
    <row r="75" spans="1:11" x14ac:dyDescent="0.3">
      <c r="A75" s="37">
        <v>1</v>
      </c>
      <c r="B75" t="s">
        <v>152</v>
      </c>
      <c r="C75" t="s">
        <v>500</v>
      </c>
      <c r="D75" t="s">
        <v>502</v>
      </c>
      <c r="E75">
        <v>13</v>
      </c>
      <c r="F75">
        <v>37.520000000000003</v>
      </c>
      <c r="G75">
        <v>38.055</v>
      </c>
      <c r="H75">
        <v>0</v>
      </c>
      <c r="I75">
        <v>0</v>
      </c>
      <c r="J75">
        <v>6.9549999999999557</v>
      </c>
      <c r="K75">
        <v>1.4259061833688609E-2</v>
      </c>
    </row>
    <row r="76" spans="1:11" x14ac:dyDescent="0.3">
      <c r="A76" s="37">
        <v>1</v>
      </c>
      <c r="B76" t="s">
        <v>153</v>
      </c>
      <c r="C76" t="s">
        <v>500</v>
      </c>
      <c r="D76" t="s">
        <v>502</v>
      </c>
      <c r="E76">
        <v>13</v>
      </c>
      <c r="F76">
        <v>37.520000000000003</v>
      </c>
      <c r="G76">
        <v>37.955714285714294</v>
      </c>
      <c r="H76">
        <v>0</v>
      </c>
      <c r="I76">
        <v>0</v>
      </c>
      <c r="J76">
        <v>5.6642857142856826</v>
      </c>
      <c r="K76">
        <v>1.161285409686256E-2</v>
      </c>
    </row>
    <row r="77" spans="1:11" x14ac:dyDescent="0.3">
      <c r="A77" s="37">
        <v>1</v>
      </c>
      <c r="B77" t="s">
        <v>154</v>
      </c>
      <c r="C77" t="s">
        <v>500</v>
      </c>
      <c r="D77" t="s">
        <v>502</v>
      </c>
      <c r="E77">
        <v>13</v>
      </c>
      <c r="F77">
        <v>37.520000000000003</v>
      </c>
      <c r="G77">
        <v>37.856428571428573</v>
      </c>
      <c r="H77">
        <v>0</v>
      </c>
      <c r="I77">
        <v>0</v>
      </c>
      <c r="J77">
        <v>4.3735714285714096</v>
      </c>
      <c r="K77">
        <v>8.9666463600365127E-3</v>
      </c>
    </row>
    <row r="78" spans="1:11" x14ac:dyDescent="0.3">
      <c r="A78" s="37">
        <v>1</v>
      </c>
      <c r="B78" t="s">
        <v>155</v>
      </c>
      <c r="C78" t="s">
        <v>500</v>
      </c>
      <c r="D78" t="s">
        <v>502</v>
      </c>
      <c r="E78">
        <v>13</v>
      </c>
      <c r="F78">
        <v>37.520000000000003</v>
      </c>
      <c r="G78">
        <v>37.75714285714286</v>
      </c>
      <c r="H78">
        <v>0</v>
      </c>
      <c r="I78">
        <v>0</v>
      </c>
      <c r="J78">
        <v>3.082857142857137</v>
      </c>
      <c r="K78">
        <v>6.3204386232104644E-3</v>
      </c>
    </row>
    <row r="79" spans="1:11" x14ac:dyDescent="0.3">
      <c r="A79" s="37">
        <v>1</v>
      </c>
      <c r="B79" t="s">
        <v>156</v>
      </c>
      <c r="C79" t="s">
        <v>500</v>
      </c>
      <c r="D79" t="s">
        <v>502</v>
      </c>
      <c r="E79">
        <v>13</v>
      </c>
      <c r="F79">
        <v>37.520000000000003</v>
      </c>
      <c r="G79">
        <v>37.657857142857139</v>
      </c>
      <c r="H79">
        <v>0</v>
      </c>
      <c r="I79">
        <v>0</v>
      </c>
      <c r="J79">
        <v>1.7921428571427711</v>
      </c>
      <c r="K79">
        <v>3.6742308863842279E-3</v>
      </c>
    </row>
    <row r="80" spans="1:11" x14ac:dyDescent="0.3">
      <c r="A80" s="37">
        <v>1</v>
      </c>
      <c r="B80" t="s">
        <v>157</v>
      </c>
      <c r="C80" t="s">
        <v>500</v>
      </c>
      <c r="D80" t="s">
        <v>502</v>
      </c>
      <c r="E80">
        <v>13</v>
      </c>
      <c r="F80">
        <v>37.520000000000003</v>
      </c>
      <c r="G80">
        <v>37.558571428571433</v>
      </c>
      <c r="H80">
        <v>0</v>
      </c>
      <c r="I80">
        <v>0</v>
      </c>
      <c r="J80">
        <v>0.50142857142849806</v>
      </c>
      <c r="K80">
        <v>1.0280231495581799E-3</v>
      </c>
    </row>
    <row r="81" spans="1:11" x14ac:dyDescent="0.3">
      <c r="A81" s="37">
        <v>1</v>
      </c>
      <c r="B81" t="s">
        <v>158</v>
      </c>
      <c r="C81" t="s">
        <v>500</v>
      </c>
      <c r="D81" t="s">
        <v>502</v>
      </c>
      <c r="E81">
        <v>13</v>
      </c>
      <c r="F81">
        <v>37.520000000000003</v>
      </c>
      <c r="G81">
        <v>37.459285714285713</v>
      </c>
      <c r="H81">
        <v>0</v>
      </c>
      <c r="I81">
        <v>0</v>
      </c>
      <c r="J81">
        <v>-0.78928571428577499</v>
      </c>
      <c r="K81">
        <v>-1.6181845872678671E-3</v>
      </c>
    </row>
    <row r="82" spans="1:11" x14ac:dyDescent="0.3">
      <c r="A82" s="37">
        <v>1</v>
      </c>
      <c r="B82" t="s">
        <v>159</v>
      </c>
      <c r="C82" t="s">
        <v>500</v>
      </c>
      <c r="D82" t="s">
        <v>502</v>
      </c>
      <c r="E82">
        <v>18</v>
      </c>
      <c r="F82">
        <v>37.26</v>
      </c>
      <c r="G82">
        <v>37.36</v>
      </c>
      <c r="H82">
        <v>0</v>
      </c>
      <c r="I82">
        <v>0</v>
      </c>
      <c r="J82">
        <v>1.800000000000026</v>
      </c>
      <c r="K82">
        <v>2.6838432635534469E-3</v>
      </c>
    </row>
    <row r="83" spans="1:11" x14ac:dyDescent="0.3">
      <c r="A83" s="37">
        <v>1</v>
      </c>
      <c r="B83" t="s">
        <v>160</v>
      </c>
      <c r="C83" t="s">
        <v>500</v>
      </c>
      <c r="D83" t="s">
        <v>502</v>
      </c>
      <c r="E83">
        <v>18</v>
      </c>
      <c r="F83">
        <v>37.26</v>
      </c>
      <c r="G83">
        <v>37.50121212121212</v>
      </c>
      <c r="H83">
        <v>0</v>
      </c>
      <c r="I83">
        <v>0</v>
      </c>
      <c r="J83">
        <v>4.3418181818181978</v>
      </c>
      <c r="K83">
        <v>6.4737552660258206E-3</v>
      </c>
    </row>
    <row r="84" spans="1:11" x14ac:dyDescent="0.3">
      <c r="A84" s="37">
        <v>1</v>
      </c>
      <c r="B84" t="s">
        <v>161</v>
      </c>
      <c r="C84" t="s">
        <v>500</v>
      </c>
      <c r="D84" t="s">
        <v>502</v>
      </c>
      <c r="E84">
        <v>18</v>
      </c>
      <c r="F84">
        <v>37.26</v>
      </c>
      <c r="G84">
        <v>37.642424242424241</v>
      </c>
      <c r="H84">
        <v>0</v>
      </c>
      <c r="I84">
        <v>0</v>
      </c>
      <c r="J84">
        <v>6.88363636363637</v>
      </c>
      <c r="K84">
        <v>1.02636672684982E-2</v>
      </c>
    </row>
    <row r="85" spans="1:11" x14ac:dyDescent="0.3">
      <c r="A85" s="37">
        <v>1</v>
      </c>
      <c r="B85" t="s">
        <v>162</v>
      </c>
      <c r="C85" t="s">
        <v>500</v>
      </c>
      <c r="D85" t="s">
        <v>502</v>
      </c>
      <c r="E85">
        <v>18</v>
      </c>
      <c r="F85">
        <v>37.26</v>
      </c>
      <c r="G85">
        <v>37.783636363636361</v>
      </c>
      <c r="H85">
        <v>0</v>
      </c>
      <c r="I85">
        <v>0</v>
      </c>
      <c r="J85">
        <v>9.4254545454545422</v>
      </c>
      <c r="K85">
        <v>1.4053579270970571E-2</v>
      </c>
    </row>
    <row r="86" spans="1:11" x14ac:dyDescent="0.3">
      <c r="A86" s="37">
        <v>1</v>
      </c>
      <c r="B86" t="s">
        <v>163</v>
      </c>
      <c r="C86" t="s">
        <v>500</v>
      </c>
      <c r="D86" t="s">
        <v>502</v>
      </c>
      <c r="E86">
        <v>18</v>
      </c>
      <c r="F86">
        <v>37.26</v>
      </c>
      <c r="G86">
        <v>37.924848484848482</v>
      </c>
      <c r="H86">
        <v>0</v>
      </c>
      <c r="I86">
        <v>0</v>
      </c>
      <c r="J86">
        <v>11.967272727272711</v>
      </c>
      <c r="K86">
        <v>1.7843491273442941E-2</v>
      </c>
    </row>
    <row r="87" spans="1:11" x14ac:dyDescent="0.3">
      <c r="A87" s="37">
        <v>1</v>
      </c>
      <c r="B87" t="s">
        <v>164</v>
      </c>
      <c r="C87" t="s">
        <v>500</v>
      </c>
      <c r="D87" t="s">
        <v>502</v>
      </c>
      <c r="E87">
        <v>18</v>
      </c>
      <c r="F87">
        <v>37.26</v>
      </c>
      <c r="G87">
        <v>38.066060606060603</v>
      </c>
      <c r="H87">
        <v>0</v>
      </c>
      <c r="I87">
        <v>0</v>
      </c>
      <c r="J87">
        <v>14.50909090909089</v>
      </c>
      <c r="K87">
        <v>2.1633403275915321E-2</v>
      </c>
    </row>
    <row r="88" spans="1:11" x14ac:dyDescent="0.3">
      <c r="A88" s="37">
        <v>1</v>
      </c>
      <c r="B88" t="s">
        <v>165</v>
      </c>
      <c r="C88" t="s">
        <v>500</v>
      </c>
      <c r="D88" t="s">
        <v>502</v>
      </c>
      <c r="E88">
        <v>18</v>
      </c>
      <c r="F88">
        <v>37.26</v>
      </c>
      <c r="G88">
        <v>38.207272727272731</v>
      </c>
      <c r="H88">
        <v>0</v>
      </c>
      <c r="I88">
        <v>0</v>
      </c>
      <c r="J88">
        <v>17.05090909090919</v>
      </c>
      <c r="K88">
        <v>2.5423315278387891E-2</v>
      </c>
    </row>
    <row r="89" spans="1:11" x14ac:dyDescent="0.3">
      <c r="A89" s="37">
        <v>1</v>
      </c>
      <c r="B89" t="s">
        <v>166</v>
      </c>
      <c r="C89" t="s">
        <v>500</v>
      </c>
      <c r="D89" t="s">
        <v>502</v>
      </c>
      <c r="E89">
        <v>18</v>
      </c>
      <c r="F89">
        <v>37.26</v>
      </c>
      <c r="G89">
        <v>38.348484848484851</v>
      </c>
      <c r="H89">
        <v>0</v>
      </c>
      <c r="I89">
        <v>0</v>
      </c>
      <c r="J89">
        <v>19.592727272727359</v>
      </c>
      <c r="K89">
        <v>2.921322728086026E-2</v>
      </c>
    </row>
    <row r="90" spans="1:11" x14ac:dyDescent="0.3">
      <c r="A90" s="37">
        <v>1</v>
      </c>
      <c r="B90" t="s">
        <v>167</v>
      </c>
      <c r="C90" t="s">
        <v>500</v>
      </c>
      <c r="D90" t="s">
        <v>502</v>
      </c>
      <c r="E90">
        <v>18</v>
      </c>
      <c r="F90">
        <v>37.26</v>
      </c>
      <c r="G90">
        <v>38.489696969696972</v>
      </c>
      <c r="H90">
        <v>0</v>
      </c>
      <c r="I90">
        <v>0</v>
      </c>
      <c r="J90">
        <v>22.134545454545531</v>
      </c>
      <c r="K90">
        <v>3.3003139283332643E-2</v>
      </c>
    </row>
    <row r="91" spans="1:11" x14ac:dyDescent="0.3">
      <c r="A91" s="37">
        <v>1</v>
      </c>
      <c r="B91" t="s">
        <v>168</v>
      </c>
      <c r="C91" t="s">
        <v>500</v>
      </c>
      <c r="D91" t="s">
        <v>502</v>
      </c>
      <c r="E91">
        <v>18</v>
      </c>
      <c r="F91">
        <v>37.26</v>
      </c>
      <c r="G91">
        <v>38.630909090909093</v>
      </c>
      <c r="H91">
        <v>0</v>
      </c>
      <c r="I91">
        <v>0</v>
      </c>
      <c r="J91">
        <v>24.6763636363637</v>
      </c>
      <c r="K91">
        <v>3.6793051285805012E-2</v>
      </c>
    </row>
    <row r="92" spans="1:11" x14ac:dyDescent="0.3">
      <c r="A92" s="37">
        <v>1</v>
      </c>
      <c r="B92" t="s">
        <v>169</v>
      </c>
      <c r="C92" t="s">
        <v>500</v>
      </c>
      <c r="D92" t="s">
        <v>502</v>
      </c>
      <c r="E92">
        <v>18</v>
      </c>
      <c r="F92">
        <v>37.26</v>
      </c>
      <c r="G92">
        <v>38.772121212121213</v>
      </c>
      <c r="H92">
        <v>0</v>
      </c>
      <c r="I92">
        <v>0</v>
      </c>
      <c r="J92">
        <v>27.218181818181879</v>
      </c>
      <c r="K92">
        <v>4.0582963288277388E-2</v>
      </c>
    </row>
    <row r="93" spans="1:11" x14ac:dyDescent="0.3">
      <c r="A93" s="37">
        <v>1</v>
      </c>
      <c r="B93" t="s">
        <v>170</v>
      </c>
      <c r="C93" t="s">
        <v>500</v>
      </c>
      <c r="D93" t="s">
        <v>502</v>
      </c>
      <c r="E93">
        <v>18</v>
      </c>
      <c r="F93">
        <v>37.26</v>
      </c>
      <c r="G93">
        <v>38.913333333333327</v>
      </c>
      <c r="H93">
        <v>0</v>
      </c>
      <c r="I93">
        <v>0</v>
      </c>
      <c r="J93">
        <v>29.760000000000051</v>
      </c>
      <c r="K93">
        <v>4.4372875290749757E-2</v>
      </c>
    </row>
    <row r="94" spans="1:11" x14ac:dyDescent="0.3">
      <c r="A94" s="37">
        <v>1</v>
      </c>
      <c r="B94" t="s">
        <v>171</v>
      </c>
      <c r="C94" t="s">
        <v>500</v>
      </c>
      <c r="D94" t="s">
        <v>502</v>
      </c>
      <c r="E94">
        <v>18</v>
      </c>
      <c r="F94">
        <v>37.26</v>
      </c>
      <c r="G94">
        <v>39.054545454545448</v>
      </c>
      <c r="H94">
        <v>0</v>
      </c>
      <c r="I94">
        <v>0</v>
      </c>
      <c r="J94">
        <v>32.30181818181822</v>
      </c>
      <c r="K94">
        <v>4.816278729322214E-2</v>
      </c>
    </row>
    <row r="95" spans="1:11" x14ac:dyDescent="0.3">
      <c r="A95" s="37">
        <v>1</v>
      </c>
      <c r="B95" t="s">
        <v>172</v>
      </c>
      <c r="C95" t="s">
        <v>500</v>
      </c>
      <c r="D95" t="s">
        <v>502</v>
      </c>
      <c r="E95">
        <v>18</v>
      </c>
      <c r="F95">
        <v>37.26</v>
      </c>
      <c r="G95">
        <v>39.195757575757582</v>
      </c>
      <c r="H95">
        <v>0</v>
      </c>
      <c r="I95">
        <v>0</v>
      </c>
      <c r="J95">
        <v>34.843636363636392</v>
      </c>
      <c r="K95">
        <v>5.1952699295694509E-2</v>
      </c>
    </row>
    <row r="96" spans="1:11" x14ac:dyDescent="0.3">
      <c r="A96" s="37">
        <v>1</v>
      </c>
      <c r="B96" t="s">
        <v>173</v>
      </c>
      <c r="C96" t="s">
        <v>500</v>
      </c>
      <c r="D96" t="s">
        <v>502</v>
      </c>
      <c r="E96">
        <v>18</v>
      </c>
      <c r="F96">
        <v>37.26</v>
      </c>
      <c r="G96">
        <v>39.336969696969703</v>
      </c>
      <c r="H96">
        <v>0</v>
      </c>
      <c r="I96">
        <v>0</v>
      </c>
      <c r="J96">
        <v>37.385454545454557</v>
      </c>
      <c r="K96">
        <v>5.5742611298166878E-2</v>
      </c>
    </row>
    <row r="97" spans="1:11" x14ac:dyDescent="0.3">
      <c r="A97" s="37">
        <v>1</v>
      </c>
      <c r="B97" t="s">
        <v>174</v>
      </c>
      <c r="C97" t="s">
        <v>500</v>
      </c>
      <c r="D97" t="s">
        <v>502</v>
      </c>
      <c r="E97">
        <v>18</v>
      </c>
      <c r="F97">
        <v>37.26</v>
      </c>
      <c r="G97">
        <v>39.478181818181817</v>
      </c>
      <c r="H97">
        <v>0</v>
      </c>
      <c r="I97">
        <v>0</v>
      </c>
      <c r="J97">
        <v>39.927272727272737</v>
      </c>
      <c r="K97">
        <v>5.953252330063926E-2</v>
      </c>
    </row>
    <row r="98" spans="1:11" x14ac:dyDescent="0.3">
      <c r="A98" s="37">
        <v>1</v>
      </c>
      <c r="B98" t="s">
        <v>175</v>
      </c>
      <c r="C98" t="s">
        <v>500</v>
      </c>
      <c r="D98" t="s">
        <v>502</v>
      </c>
      <c r="E98">
        <v>18</v>
      </c>
      <c r="F98">
        <v>37.26</v>
      </c>
      <c r="G98">
        <v>39.619393939393937</v>
      </c>
      <c r="H98">
        <v>0</v>
      </c>
      <c r="I98">
        <v>0</v>
      </c>
      <c r="J98">
        <v>42.469090909090909</v>
      </c>
      <c r="K98">
        <v>6.3322435303111629E-2</v>
      </c>
    </row>
    <row r="99" spans="1:11" x14ac:dyDescent="0.3">
      <c r="A99" s="37">
        <v>1</v>
      </c>
      <c r="B99" t="s">
        <v>176</v>
      </c>
      <c r="C99" t="s">
        <v>500</v>
      </c>
      <c r="D99" t="s">
        <v>502</v>
      </c>
      <c r="E99">
        <v>18</v>
      </c>
      <c r="F99">
        <v>37.26</v>
      </c>
      <c r="G99">
        <v>39.760606060606072</v>
      </c>
      <c r="H99">
        <v>0</v>
      </c>
      <c r="I99">
        <v>0</v>
      </c>
      <c r="J99">
        <v>45.010909090909209</v>
      </c>
      <c r="K99">
        <v>6.71123473055842E-2</v>
      </c>
    </row>
    <row r="100" spans="1:11" x14ac:dyDescent="0.3">
      <c r="A100" s="37">
        <v>1</v>
      </c>
      <c r="B100" t="s">
        <v>177</v>
      </c>
      <c r="C100" t="s">
        <v>500</v>
      </c>
      <c r="D100" t="s">
        <v>502</v>
      </c>
      <c r="E100">
        <v>18</v>
      </c>
      <c r="F100">
        <v>37.26</v>
      </c>
      <c r="G100">
        <v>39.901818181818193</v>
      </c>
      <c r="H100">
        <v>0</v>
      </c>
      <c r="I100">
        <v>0</v>
      </c>
      <c r="J100">
        <v>47.552727272727381</v>
      </c>
      <c r="K100">
        <v>7.0902259308056576E-2</v>
      </c>
    </row>
    <row r="101" spans="1:11" x14ac:dyDescent="0.3">
      <c r="A101" s="37">
        <v>1</v>
      </c>
      <c r="B101" t="s">
        <v>178</v>
      </c>
      <c r="C101" t="s">
        <v>500</v>
      </c>
      <c r="D101" t="s">
        <v>502</v>
      </c>
      <c r="E101">
        <v>18</v>
      </c>
      <c r="F101">
        <v>37.26</v>
      </c>
      <c r="G101">
        <v>40.043030303030307</v>
      </c>
      <c r="H101">
        <v>0</v>
      </c>
      <c r="I101">
        <v>0</v>
      </c>
      <c r="J101">
        <v>50.094545454545553</v>
      </c>
      <c r="K101">
        <v>7.4692171310528951E-2</v>
      </c>
    </row>
    <row r="102" spans="1:11" x14ac:dyDescent="0.3">
      <c r="A102" s="37">
        <v>1</v>
      </c>
      <c r="B102" t="s">
        <v>179</v>
      </c>
      <c r="C102" t="s">
        <v>500</v>
      </c>
      <c r="D102" t="s">
        <v>502</v>
      </c>
      <c r="E102">
        <v>18</v>
      </c>
      <c r="F102">
        <v>37.26</v>
      </c>
      <c r="G102">
        <v>40.184242424242427</v>
      </c>
      <c r="H102">
        <v>0</v>
      </c>
      <c r="I102">
        <v>0</v>
      </c>
      <c r="J102">
        <v>52.636363636363733</v>
      </c>
      <c r="K102">
        <v>7.8482083313001327E-2</v>
      </c>
    </row>
    <row r="103" spans="1:11" x14ac:dyDescent="0.3">
      <c r="A103" s="37">
        <v>1</v>
      </c>
      <c r="B103" t="s">
        <v>180</v>
      </c>
      <c r="C103" t="s">
        <v>500</v>
      </c>
      <c r="D103" t="s">
        <v>502</v>
      </c>
      <c r="E103">
        <v>18</v>
      </c>
      <c r="F103">
        <v>37.26</v>
      </c>
      <c r="G103">
        <v>40.325454545454548</v>
      </c>
      <c r="H103">
        <v>0</v>
      </c>
      <c r="I103">
        <v>0</v>
      </c>
      <c r="J103">
        <v>55.178181818181898</v>
      </c>
      <c r="K103">
        <v>8.2271995315473703E-2</v>
      </c>
    </row>
    <row r="104" spans="1:11" x14ac:dyDescent="0.3">
      <c r="A104" s="37">
        <v>1</v>
      </c>
      <c r="B104" t="s">
        <v>181</v>
      </c>
      <c r="C104" t="s">
        <v>500</v>
      </c>
      <c r="D104" t="s">
        <v>502</v>
      </c>
      <c r="E104">
        <v>18</v>
      </c>
      <c r="F104">
        <v>37.26</v>
      </c>
      <c r="G104">
        <v>40.466666666666669</v>
      </c>
      <c r="H104">
        <v>0</v>
      </c>
      <c r="I104">
        <v>0</v>
      </c>
      <c r="J104">
        <v>57.72000000000007</v>
      </c>
      <c r="K104">
        <v>8.6061907317946079E-2</v>
      </c>
    </row>
    <row r="105" spans="1:11" x14ac:dyDescent="0.3">
      <c r="A105" s="37">
        <v>1</v>
      </c>
      <c r="B105" t="s">
        <v>182</v>
      </c>
      <c r="C105" t="s">
        <v>500</v>
      </c>
      <c r="D105" t="s">
        <v>502</v>
      </c>
      <c r="E105">
        <v>18</v>
      </c>
      <c r="F105">
        <v>37.26</v>
      </c>
      <c r="G105">
        <v>40.607878787878789</v>
      </c>
      <c r="H105">
        <v>0</v>
      </c>
      <c r="I105">
        <v>0</v>
      </c>
      <c r="J105">
        <v>60.261818181818242</v>
      </c>
      <c r="K105">
        <v>8.9851819320418455E-2</v>
      </c>
    </row>
    <row r="106" spans="1:11" x14ac:dyDescent="0.3">
      <c r="A106" s="37">
        <v>1</v>
      </c>
      <c r="B106" t="s">
        <v>183</v>
      </c>
      <c r="C106" t="s">
        <v>500</v>
      </c>
      <c r="D106" t="s">
        <v>502</v>
      </c>
      <c r="E106">
        <v>18</v>
      </c>
      <c r="F106">
        <v>37.26</v>
      </c>
      <c r="G106">
        <v>40.74909090909091</v>
      </c>
      <c r="H106">
        <v>0</v>
      </c>
      <c r="I106">
        <v>0</v>
      </c>
      <c r="J106">
        <v>62.803636363636407</v>
      </c>
      <c r="K106">
        <v>9.3641731322890831E-2</v>
      </c>
    </row>
    <row r="107" spans="1:11" x14ac:dyDescent="0.3">
      <c r="A107" s="37">
        <v>1</v>
      </c>
      <c r="B107" t="s">
        <v>184</v>
      </c>
      <c r="C107" t="s">
        <v>500</v>
      </c>
      <c r="D107" t="s">
        <v>502</v>
      </c>
      <c r="E107">
        <v>18</v>
      </c>
      <c r="F107">
        <v>37.26</v>
      </c>
      <c r="G107">
        <v>40.890303030303031</v>
      </c>
      <c r="H107">
        <v>0</v>
      </c>
      <c r="I107">
        <v>0</v>
      </c>
      <c r="J107">
        <v>65.345454545454587</v>
      </c>
      <c r="K107">
        <v>9.7431643325363207E-2</v>
      </c>
    </row>
    <row r="108" spans="1:11" x14ac:dyDescent="0.3">
      <c r="A108" s="37">
        <v>1</v>
      </c>
      <c r="B108" t="s">
        <v>185</v>
      </c>
      <c r="C108" t="s">
        <v>500</v>
      </c>
      <c r="D108" t="s">
        <v>502</v>
      </c>
      <c r="E108">
        <v>18</v>
      </c>
      <c r="F108">
        <v>37.26</v>
      </c>
      <c r="G108">
        <v>41.031515151515151</v>
      </c>
      <c r="H108">
        <v>0</v>
      </c>
      <c r="I108">
        <v>0</v>
      </c>
      <c r="J108">
        <v>67.887272727272759</v>
      </c>
      <c r="K108">
        <v>0.1012215553278356</v>
      </c>
    </row>
    <row r="109" spans="1:11" x14ac:dyDescent="0.3">
      <c r="A109" s="37">
        <v>1</v>
      </c>
      <c r="B109" t="s">
        <v>186</v>
      </c>
      <c r="C109" t="s">
        <v>500</v>
      </c>
      <c r="D109" t="s">
        <v>502</v>
      </c>
      <c r="E109">
        <v>18</v>
      </c>
      <c r="F109">
        <v>37.26</v>
      </c>
      <c r="G109">
        <v>41.172727272727272</v>
      </c>
      <c r="H109">
        <v>0</v>
      </c>
      <c r="I109">
        <v>0</v>
      </c>
      <c r="J109">
        <v>70.429090909090931</v>
      </c>
      <c r="K109">
        <v>0.1050114673303079</v>
      </c>
    </row>
    <row r="110" spans="1:11" x14ac:dyDescent="0.3">
      <c r="A110" s="37">
        <v>1</v>
      </c>
      <c r="B110" t="s">
        <v>187</v>
      </c>
      <c r="C110" t="s">
        <v>500</v>
      </c>
      <c r="D110" t="s">
        <v>502</v>
      </c>
      <c r="E110">
        <v>18</v>
      </c>
      <c r="F110">
        <v>37.26</v>
      </c>
      <c r="G110">
        <v>41.313939393939393</v>
      </c>
      <c r="H110">
        <v>0</v>
      </c>
      <c r="I110">
        <v>0</v>
      </c>
      <c r="J110">
        <v>72.970909090909103</v>
      </c>
      <c r="K110">
        <v>0.10880137933278031</v>
      </c>
    </row>
    <row r="111" spans="1:11" x14ac:dyDescent="0.3">
      <c r="A111" s="37">
        <v>1</v>
      </c>
      <c r="B111" t="s">
        <v>188</v>
      </c>
      <c r="C111" t="s">
        <v>500</v>
      </c>
      <c r="D111" t="s">
        <v>502</v>
      </c>
      <c r="E111">
        <v>18</v>
      </c>
      <c r="F111">
        <v>37.26</v>
      </c>
      <c r="G111">
        <v>41.45515151515152</v>
      </c>
      <c r="H111">
        <v>0</v>
      </c>
      <c r="I111">
        <v>0</v>
      </c>
      <c r="J111">
        <v>75.512727272727403</v>
      </c>
      <c r="K111">
        <v>0.1125912913352529</v>
      </c>
    </row>
    <row r="112" spans="1:11" x14ac:dyDescent="0.3">
      <c r="A112" s="37">
        <v>1</v>
      </c>
      <c r="B112" t="s">
        <v>189</v>
      </c>
      <c r="C112" t="s">
        <v>500</v>
      </c>
      <c r="D112" t="s">
        <v>502</v>
      </c>
      <c r="E112">
        <v>18</v>
      </c>
      <c r="F112">
        <v>37.26</v>
      </c>
      <c r="G112">
        <v>41.596363636363641</v>
      </c>
      <c r="H112">
        <v>0</v>
      </c>
      <c r="I112">
        <v>0</v>
      </c>
      <c r="J112">
        <v>78.054545454545575</v>
      </c>
      <c r="K112">
        <v>0.11638120333772529</v>
      </c>
    </row>
    <row r="113" spans="1:11" x14ac:dyDescent="0.3">
      <c r="A113" s="37">
        <v>1</v>
      </c>
      <c r="B113" t="s">
        <v>190</v>
      </c>
      <c r="C113" t="s">
        <v>500</v>
      </c>
      <c r="D113" t="s">
        <v>502</v>
      </c>
      <c r="E113">
        <v>18</v>
      </c>
      <c r="F113">
        <v>37.26</v>
      </c>
      <c r="G113">
        <v>41.737575757575762</v>
      </c>
      <c r="H113">
        <v>0</v>
      </c>
      <c r="I113">
        <v>0</v>
      </c>
      <c r="J113">
        <v>80.596363636363748</v>
      </c>
      <c r="K113">
        <v>0.1201711153401976</v>
      </c>
    </row>
    <row r="114" spans="1:11" x14ac:dyDescent="0.3">
      <c r="A114" s="37">
        <v>1</v>
      </c>
      <c r="B114" t="s">
        <v>191</v>
      </c>
      <c r="C114" t="s">
        <v>500</v>
      </c>
      <c r="D114" t="s">
        <v>502</v>
      </c>
      <c r="E114">
        <v>18</v>
      </c>
      <c r="F114">
        <v>37.26</v>
      </c>
      <c r="G114">
        <v>41.878787878787882</v>
      </c>
      <c r="H114">
        <v>0</v>
      </c>
      <c r="I114">
        <v>0</v>
      </c>
      <c r="J114">
        <v>83.13818181818192</v>
      </c>
      <c r="K114">
        <v>0.12396102734267</v>
      </c>
    </row>
    <row r="115" spans="1:11" x14ac:dyDescent="0.3">
      <c r="A115" s="37">
        <v>1</v>
      </c>
      <c r="B115" t="s">
        <v>192</v>
      </c>
      <c r="C115" t="s">
        <v>500</v>
      </c>
      <c r="D115" t="s">
        <v>502</v>
      </c>
      <c r="E115">
        <v>18</v>
      </c>
      <c r="F115">
        <v>37.26</v>
      </c>
      <c r="G115">
        <v>42.02</v>
      </c>
      <c r="H115">
        <v>0</v>
      </c>
      <c r="I115">
        <v>0</v>
      </c>
      <c r="J115">
        <v>85.680000000000092</v>
      </c>
      <c r="K115">
        <v>0.12775093934514239</v>
      </c>
    </row>
    <row r="116" spans="1:11" x14ac:dyDescent="0.3">
      <c r="A116" s="37">
        <v>1</v>
      </c>
      <c r="B116" t="s">
        <v>193</v>
      </c>
      <c r="C116" t="s">
        <v>500</v>
      </c>
      <c r="D116" t="s">
        <v>502</v>
      </c>
      <c r="E116">
        <v>18</v>
      </c>
      <c r="F116">
        <v>37.26</v>
      </c>
      <c r="G116">
        <v>41.915806451612909</v>
      </c>
      <c r="H116">
        <v>25.99</v>
      </c>
      <c r="I116">
        <v>0</v>
      </c>
      <c r="J116">
        <v>109.7945161290324</v>
      </c>
      <c r="K116">
        <v>0.16370626249333869</v>
      </c>
    </row>
    <row r="117" spans="1:11" x14ac:dyDescent="0.3">
      <c r="A117" s="37">
        <v>1</v>
      </c>
      <c r="B117" t="s">
        <v>194</v>
      </c>
      <c r="C117" t="s">
        <v>500</v>
      </c>
      <c r="D117" t="s">
        <v>502</v>
      </c>
      <c r="E117">
        <v>18</v>
      </c>
      <c r="F117">
        <v>37.26</v>
      </c>
      <c r="G117">
        <v>41.811612903225807</v>
      </c>
      <c r="H117">
        <v>25.99</v>
      </c>
      <c r="I117">
        <v>0</v>
      </c>
      <c r="J117">
        <v>107.9190322580646</v>
      </c>
      <c r="K117">
        <v>0.1609098709638942</v>
      </c>
    </row>
    <row r="118" spans="1:11" x14ac:dyDescent="0.3">
      <c r="A118" s="37">
        <v>1</v>
      </c>
      <c r="B118" t="s">
        <v>195</v>
      </c>
      <c r="C118" t="s">
        <v>500</v>
      </c>
      <c r="D118" t="s">
        <v>502</v>
      </c>
      <c r="E118">
        <v>18</v>
      </c>
      <c r="F118">
        <v>37.26</v>
      </c>
      <c r="G118">
        <v>41.707419354838713</v>
      </c>
      <c r="H118">
        <v>25.99</v>
      </c>
      <c r="I118">
        <v>0</v>
      </c>
      <c r="J118">
        <v>106.04354838709691</v>
      </c>
      <c r="K118">
        <v>0.15811347943444989</v>
      </c>
    </row>
    <row r="119" spans="1:11" x14ac:dyDescent="0.3">
      <c r="A119" s="37">
        <v>1</v>
      </c>
      <c r="B119" t="s">
        <v>196</v>
      </c>
      <c r="C119" t="s">
        <v>500</v>
      </c>
      <c r="D119" t="s">
        <v>502</v>
      </c>
      <c r="E119">
        <v>18</v>
      </c>
      <c r="F119">
        <v>37.26</v>
      </c>
      <c r="G119">
        <v>41.603225806451618</v>
      </c>
      <c r="H119">
        <v>25.99</v>
      </c>
      <c r="I119">
        <v>0</v>
      </c>
      <c r="J119">
        <v>104.16806451612921</v>
      </c>
      <c r="K119">
        <v>0.15531708790500559</v>
      </c>
    </row>
    <row r="120" spans="1:11" x14ac:dyDescent="0.3">
      <c r="A120" s="37">
        <v>1</v>
      </c>
      <c r="B120" t="s">
        <v>197</v>
      </c>
      <c r="C120" t="s">
        <v>500</v>
      </c>
      <c r="D120" t="s">
        <v>502</v>
      </c>
      <c r="E120">
        <v>18</v>
      </c>
      <c r="F120">
        <v>37.26</v>
      </c>
      <c r="G120">
        <v>41.499032258064517</v>
      </c>
      <c r="H120">
        <v>25.99</v>
      </c>
      <c r="I120">
        <v>0</v>
      </c>
      <c r="J120">
        <v>102.29258064516129</v>
      </c>
      <c r="K120">
        <v>0.15252069637556109</v>
      </c>
    </row>
    <row r="121" spans="1:11" x14ac:dyDescent="0.3">
      <c r="A121" s="37">
        <v>1</v>
      </c>
      <c r="B121" t="s">
        <v>198</v>
      </c>
      <c r="C121" t="s">
        <v>500</v>
      </c>
      <c r="D121" t="s">
        <v>502</v>
      </c>
      <c r="E121">
        <v>18</v>
      </c>
      <c r="F121">
        <v>37.26</v>
      </c>
      <c r="G121">
        <v>41.394838709677423</v>
      </c>
      <c r="H121">
        <v>25.99</v>
      </c>
      <c r="I121">
        <v>0</v>
      </c>
      <c r="J121">
        <v>100.4170967741936</v>
      </c>
      <c r="K121">
        <v>0.14972430484611679</v>
      </c>
    </row>
    <row r="122" spans="1:11" x14ac:dyDescent="0.3">
      <c r="A122" s="37">
        <v>1</v>
      </c>
      <c r="B122" t="s">
        <v>199</v>
      </c>
      <c r="C122" t="s">
        <v>500</v>
      </c>
      <c r="D122" t="s">
        <v>502</v>
      </c>
      <c r="E122">
        <v>18</v>
      </c>
      <c r="F122">
        <v>37.26</v>
      </c>
      <c r="G122">
        <v>41.290645161290328</v>
      </c>
      <c r="H122">
        <v>25.99</v>
      </c>
      <c r="I122">
        <v>0</v>
      </c>
      <c r="J122">
        <v>98.541612903225939</v>
      </c>
      <c r="K122">
        <v>0.14692791331667249</v>
      </c>
    </row>
    <row r="123" spans="1:11" x14ac:dyDescent="0.3">
      <c r="A123" s="37">
        <v>1</v>
      </c>
      <c r="B123" t="s">
        <v>200</v>
      </c>
      <c r="C123" t="s">
        <v>500</v>
      </c>
      <c r="D123" t="s">
        <v>502</v>
      </c>
      <c r="E123">
        <v>18</v>
      </c>
      <c r="F123">
        <v>37.26</v>
      </c>
      <c r="G123">
        <v>41.186451612903227</v>
      </c>
      <c r="H123">
        <v>25.99</v>
      </c>
      <c r="I123">
        <v>0</v>
      </c>
      <c r="J123">
        <v>96.666129032258112</v>
      </c>
      <c r="K123">
        <v>0.1441315217872281</v>
      </c>
    </row>
    <row r="124" spans="1:11" x14ac:dyDescent="0.3">
      <c r="A124" s="37">
        <v>1</v>
      </c>
      <c r="B124" t="s">
        <v>201</v>
      </c>
      <c r="C124" t="s">
        <v>500</v>
      </c>
      <c r="D124" t="s">
        <v>502</v>
      </c>
      <c r="E124">
        <v>18</v>
      </c>
      <c r="F124">
        <v>37.26</v>
      </c>
      <c r="G124">
        <v>41.082258064516132</v>
      </c>
      <c r="H124">
        <v>25.99</v>
      </c>
      <c r="I124">
        <v>0</v>
      </c>
      <c r="J124">
        <v>94.790645161290414</v>
      </c>
      <c r="K124">
        <v>0.1413351302577838</v>
      </c>
    </row>
    <row r="125" spans="1:11" x14ac:dyDescent="0.3">
      <c r="A125" s="37">
        <v>1</v>
      </c>
      <c r="B125" t="s">
        <v>202</v>
      </c>
      <c r="C125" t="s">
        <v>500</v>
      </c>
      <c r="D125" t="s">
        <v>502</v>
      </c>
      <c r="E125">
        <v>18</v>
      </c>
      <c r="F125">
        <v>37.26</v>
      </c>
      <c r="G125">
        <v>40.978064516129031</v>
      </c>
      <c r="H125">
        <v>25.99</v>
      </c>
      <c r="I125">
        <v>0</v>
      </c>
      <c r="J125">
        <v>92.915161290322587</v>
      </c>
      <c r="K125">
        <v>0.1385387387283393</v>
      </c>
    </row>
    <row r="126" spans="1:11" x14ac:dyDescent="0.3">
      <c r="A126" s="37">
        <v>1</v>
      </c>
      <c r="B126" t="s">
        <v>203</v>
      </c>
      <c r="C126" t="s">
        <v>500</v>
      </c>
      <c r="D126" t="s">
        <v>502</v>
      </c>
      <c r="E126">
        <v>18</v>
      </c>
      <c r="F126">
        <v>37.26</v>
      </c>
      <c r="G126">
        <v>40.873870967741937</v>
      </c>
      <c r="H126">
        <v>25.99</v>
      </c>
      <c r="I126">
        <v>0</v>
      </c>
      <c r="J126">
        <v>91.039677419354888</v>
      </c>
      <c r="K126">
        <v>0.135742347198895</v>
      </c>
    </row>
    <row r="127" spans="1:11" x14ac:dyDescent="0.3">
      <c r="A127" s="37">
        <v>1</v>
      </c>
      <c r="B127" t="s">
        <v>204</v>
      </c>
      <c r="C127" t="s">
        <v>500</v>
      </c>
      <c r="D127" t="s">
        <v>502</v>
      </c>
      <c r="E127">
        <v>18</v>
      </c>
      <c r="F127">
        <v>37.26</v>
      </c>
      <c r="G127">
        <v>40.769677419354842</v>
      </c>
      <c r="H127">
        <v>25.99</v>
      </c>
      <c r="I127">
        <v>0</v>
      </c>
      <c r="J127">
        <v>89.164193548387189</v>
      </c>
      <c r="K127">
        <v>0.13294595566945069</v>
      </c>
    </row>
    <row r="128" spans="1:11" x14ac:dyDescent="0.3">
      <c r="A128" s="37">
        <v>1</v>
      </c>
      <c r="B128" t="s">
        <v>205</v>
      </c>
      <c r="C128" t="s">
        <v>500</v>
      </c>
      <c r="D128" t="s">
        <v>502</v>
      </c>
      <c r="E128">
        <v>18</v>
      </c>
      <c r="F128">
        <v>37.26</v>
      </c>
      <c r="G128">
        <v>40.665483870967741</v>
      </c>
      <c r="H128">
        <v>25.99</v>
      </c>
      <c r="I128">
        <v>0</v>
      </c>
      <c r="J128">
        <v>87.288709677419362</v>
      </c>
      <c r="K128">
        <v>0.1301495641400062</v>
      </c>
    </row>
    <row r="129" spans="1:11" x14ac:dyDescent="0.3">
      <c r="A129" s="37">
        <v>1</v>
      </c>
      <c r="B129" t="s">
        <v>206</v>
      </c>
      <c r="C129" t="s">
        <v>500</v>
      </c>
      <c r="D129" t="s">
        <v>502</v>
      </c>
      <c r="E129">
        <v>18</v>
      </c>
      <c r="F129">
        <v>37.26</v>
      </c>
      <c r="G129">
        <v>40.561290322580653</v>
      </c>
      <c r="H129">
        <v>25.99</v>
      </c>
      <c r="I129">
        <v>0</v>
      </c>
      <c r="J129">
        <v>85.413225806451663</v>
      </c>
      <c r="K129">
        <v>0.12735317261056189</v>
      </c>
    </row>
    <row r="130" spans="1:11" x14ac:dyDescent="0.3">
      <c r="A130" s="37">
        <v>1</v>
      </c>
      <c r="B130" t="s">
        <v>207</v>
      </c>
      <c r="C130" t="s">
        <v>500</v>
      </c>
      <c r="D130" t="s">
        <v>502</v>
      </c>
      <c r="E130">
        <v>18</v>
      </c>
      <c r="F130">
        <v>37.26</v>
      </c>
      <c r="G130">
        <v>40.457096774193552</v>
      </c>
      <c r="H130">
        <v>25.99</v>
      </c>
      <c r="I130">
        <v>0</v>
      </c>
      <c r="J130">
        <v>83.537741935483965</v>
      </c>
      <c r="K130">
        <v>0.1245567810811176</v>
      </c>
    </row>
    <row r="131" spans="1:11" x14ac:dyDescent="0.3">
      <c r="A131" s="37">
        <v>1</v>
      </c>
      <c r="B131" t="s">
        <v>208</v>
      </c>
      <c r="C131" t="s">
        <v>500</v>
      </c>
      <c r="D131" t="s">
        <v>502</v>
      </c>
      <c r="E131">
        <v>18</v>
      </c>
      <c r="F131">
        <v>37.26</v>
      </c>
      <c r="G131">
        <v>40.35290322580645</v>
      </c>
      <c r="H131">
        <v>25.99</v>
      </c>
      <c r="I131">
        <v>0</v>
      </c>
      <c r="J131">
        <v>81.662258064516138</v>
      </c>
      <c r="K131">
        <v>0.12176038955167311</v>
      </c>
    </row>
    <row r="132" spans="1:11" x14ac:dyDescent="0.3">
      <c r="A132" s="37">
        <v>1</v>
      </c>
      <c r="B132" t="s">
        <v>209</v>
      </c>
      <c r="C132" t="s">
        <v>500</v>
      </c>
      <c r="D132" t="s">
        <v>502</v>
      </c>
      <c r="E132">
        <v>18</v>
      </c>
      <c r="F132">
        <v>37.26</v>
      </c>
      <c r="G132">
        <v>40.248709677419363</v>
      </c>
      <c r="H132">
        <v>25.99</v>
      </c>
      <c r="I132">
        <v>0</v>
      </c>
      <c r="J132">
        <v>79.786774193548439</v>
      </c>
      <c r="K132">
        <v>0.1189639980222288</v>
      </c>
    </row>
    <row r="133" spans="1:11" x14ac:dyDescent="0.3">
      <c r="A133" s="37">
        <v>1</v>
      </c>
      <c r="B133" t="s">
        <v>210</v>
      </c>
      <c r="C133" t="s">
        <v>500</v>
      </c>
      <c r="D133" t="s">
        <v>502</v>
      </c>
      <c r="E133">
        <v>18</v>
      </c>
      <c r="F133">
        <v>37.26</v>
      </c>
      <c r="G133">
        <v>40.144516129032262</v>
      </c>
      <c r="H133">
        <v>25.99</v>
      </c>
      <c r="I133">
        <v>0</v>
      </c>
      <c r="J133">
        <v>77.91129032258074</v>
      </c>
      <c r="K133">
        <v>0.1161676064927846</v>
      </c>
    </row>
    <row r="134" spans="1:11" x14ac:dyDescent="0.3">
      <c r="A134" s="37">
        <v>1</v>
      </c>
      <c r="B134" t="s">
        <v>211</v>
      </c>
      <c r="C134" t="s">
        <v>500</v>
      </c>
      <c r="D134" t="s">
        <v>502</v>
      </c>
      <c r="E134">
        <v>18</v>
      </c>
      <c r="F134">
        <v>37.26</v>
      </c>
      <c r="G134">
        <v>40.04032258064516</v>
      </c>
      <c r="H134">
        <v>25.99</v>
      </c>
      <c r="I134">
        <v>0</v>
      </c>
      <c r="J134">
        <v>76.035806451612913</v>
      </c>
      <c r="K134">
        <v>0.1133712149633401</v>
      </c>
    </row>
    <row r="135" spans="1:11" x14ac:dyDescent="0.3">
      <c r="A135" s="37">
        <v>1</v>
      </c>
      <c r="B135" t="s">
        <v>212</v>
      </c>
      <c r="C135" t="s">
        <v>500</v>
      </c>
      <c r="D135" t="s">
        <v>502</v>
      </c>
      <c r="E135">
        <v>18</v>
      </c>
      <c r="F135">
        <v>37.26</v>
      </c>
      <c r="G135">
        <v>39.936129032258073</v>
      </c>
      <c r="H135">
        <v>25.99</v>
      </c>
      <c r="I135">
        <v>0</v>
      </c>
      <c r="J135">
        <v>74.160322580645214</v>
      </c>
      <c r="K135">
        <v>0.1105748234338958</v>
      </c>
    </row>
    <row r="136" spans="1:11" x14ac:dyDescent="0.3">
      <c r="A136" s="37">
        <v>1</v>
      </c>
      <c r="B136" t="s">
        <v>213</v>
      </c>
      <c r="C136" t="s">
        <v>500</v>
      </c>
      <c r="D136" t="s">
        <v>502</v>
      </c>
      <c r="E136">
        <v>18</v>
      </c>
      <c r="F136">
        <v>37.26</v>
      </c>
      <c r="G136">
        <v>39.831935483870971</v>
      </c>
      <c r="H136">
        <v>25.99</v>
      </c>
      <c r="I136">
        <v>0</v>
      </c>
      <c r="J136">
        <v>72.284838709677516</v>
      </c>
      <c r="K136">
        <v>0.10777843190445149</v>
      </c>
    </row>
    <row r="137" spans="1:11" x14ac:dyDescent="0.3">
      <c r="A137" s="37">
        <v>1</v>
      </c>
      <c r="B137" t="s">
        <v>214</v>
      </c>
      <c r="C137" t="s">
        <v>500</v>
      </c>
      <c r="D137" t="s">
        <v>502</v>
      </c>
      <c r="E137">
        <v>18</v>
      </c>
      <c r="F137">
        <v>37.26</v>
      </c>
      <c r="G137">
        <v>39.72774193548387</v>
      </c>
      <c r="H137">
        <v>25.99</v>
      </c>
      <c r="I137">
        <v>0</v>
      </c>
      <c r="J137">
        <v>70.409354838709689</v>
      </c>
      <c r="K137">
        <v>0.104982040375007</v>
      </c>
    </row>
    <row r="138" spans="1:11" x14ac:dyDescent="0.3">
      <c r="A138" s="37">
        <v>1</v>
      </c>
      <c r="B138" t="s">
        <v>215</v>
      </c>
      <c r="C138" t="s">
        <v>500</v>
      </c>
      <c r="D138" t="s">
        <v>502</v>
      </c>
      <c r="E138">
        <v>18</v>
      </c>
      <c r="F138">
        <v>37.26</v>
      </c>
      <c r="G138">
        <v>39.623548387096783</v>
      </c>
      <c r="H138">
        <v>25.99</v>
      </c>
      <c r="I138">
        <v>0</v>
      </c>
      <c r="J138">
        <v>68.53387096774199</v>
      </c>
      <c r="K138">
        <v>0.10218564884556269</v>
      </c>
    </row>
    <row r="139" spans="1:11" x14ac:dyDescent="0.3">
      <c r="A139" s="37">
        <v>1</v>
      </c>
      <c r="B139" t="s">
        <v>216</v>
      </c>
      <c r="C139" t="s">
        <v>500</v>
      </c>
      <c r="D139" t="s">
        <v>502</v>
      </c>
      <c r="E139">
        <v>18</v>
      </c>
      <c r="F139">
        <v>37.26</v>
      </c>
      <c r="G139">
        <v>39.519354838709667</v>
      </c>
      <c r="H139">
        <v>25.99</v>
      </c>
      <c r="I139">
        <v>0</v>
      </c>
      <c r="J139">
        <v>66.658387096774163</v>
      </c>
      <c r="K139">
        <v>9.9389257316118224E-2</v>
      </c>
    </row>
    <row r="140" spans="1:11" x14ac:dyDescent="0.3">
      <c r="A140" s="37">
        <v>1</v>
      </c>
      <c r="B140" t="s">
        <v>217</v>
      </c>
      <c r="C140" t="s">
        <v>500</v>
      </c>
      <c r="D140" t="s">
        <v>502</v>
      </c>
      <c r="E140">
        <v>18</v>
      </c>
      <c r="F140">
        <v>37.26</v>
      </c>
      <c r="G140">
        <v>39.41516129032258</v>
      </c>
      <c r="H140">
        <v>25.99</v>
      </c>
      <c r="I140">
        <v>0</v>
      </c>
      <c r="J140">
        <v>64.782903225806464</v>
      </c>
      <c r="K140">
        <v>9.659286578667392E-2</v>
      </c>
    </row>
    <row r="141" spans="1:11" x14ac:dyDescent="0.3">
      <c r="A141" s="37">
        <v>1</v>
      </c>
      <c r="B141" t="s">
        <v>218</v>
      </c>
      <c r="C141" t="s">
        <v>500</v>
      </c>
      <c r="D141" t="s">
        <v>502</v>
      </c>
      <c r="E141">
        <v>18</v>
      </c>
      <c r="F141">
        <v>37.26</v>
      </c>
      <c r="G141">
        <v>39.310967741935492</v>
      </c>
      <c r="H141">
        <v>25.99</v>
      </c>
      <c r="I141">
        <v>0</v>
      </c>
      <c r="J141">
        <v>62.907419354838773</v>
      </c>
      <c r="K141">
        <v>9.3796474257229631E-2</v>
      </c>
    </row>
    <row r="142" spans="1:11" x14ac:dyDescent="0.3">
      <c r="A142" s="37">
        <v>1</v>
      </c>
      <c r="B142" t="s">
        <v>219</v>
      </c>
      <c r="C142" t="s">
        <v>500</v>
      </c>
      <c r="D142" t="s">
        <v>502</v>
      </c>
      <c r="E142">
        <v>18</v>
      </c>
      <c r="F142">
        <v>37.26</v>
      </c>
      <c r="G142">
        <v>39.206774193548377</v>
      </c>
      <c r="H142">
        <v>25.99</v>
      </c>
      <c r="I142">
        <v>0</v>
      </c>
      <c r="J142">
        <v>61.031935483870939</v>
      </c>
      <c r="K142">
        <v>9.1000082727785148E-2</v>
      </c>
    </row>
    <row r="143" spans="1:11" x14ac:dyDescent="0.3">
      <c r="A143" s="37">
        <v>1</v>
      </c>
      <c r="B143" t="s">
        <v>220</v>
      </c>
      <c r="C143" t="s">
        <v>500</v>
      </c>
      <c r="D143" t="s">
        <v>502</v>
      </c>
      <c r="E143">
        <v>18</v>
      </c>
      <c r="F143">
        <v>37.26</v>
      </c>
      <c r="G143">
        <v>39.102580645161289</v>
      </c>
      <c r="H143">
        <v>25.99</v>
      </c>
      <c r="I143">
        <v>0</v>
      </c>
      <c r="J143">
        <v>59.15645161290324</v>
      </c>
      <c r="K143">
        <v>8.8203691198340858E-2</v>
      </c>
    </row>
    <row r="144" spans="1:11" x14ac:dyDescent="0.3">
      <c r="A144" s="37">
        <v>1</v>
      </c>
      <c r="B144" t="s">
        <v>221</v>
      </c>
      <c r="C144" t="s">
        <v>500</v>
      </c>
      <c r="D144" t="s">
        <v>502</v>
      </c>
      <c r="E144">
        <v>18</v>
      </c>
      <c r="F144">
        <v>37.26</v>
      </c>
      <c r="G144">
        <v>38.998387096774202</v>
      </c>
      <c r="H144">
        <v>25.99</v>
      </c>
      <c r="I144">
        <v>0</v>
      </c>
      <c r="J144">
        <v>57.280967741935541</v>
      </c>
      <c r="K144">
        <v>8.5407299668896555E-2</v>
      </c>
    </row>
    <row r="145" spans="1:11" x14ac:dyDescent="0.3">
      <c r="A145" s="37">
        <v>1</v>
      </c>
      <c r="B145" t="s">
        <v>222</v>
      </c>
      <c r="C145" t="s">
        <v>500</v>
      </c>
      <c r="D145" t="s">
        <v>502</v>
      </c>
      <c r="E145">
        <v>18</v>
      </c>
      <c r="F145">
        <v>37.26</v>
      </c>
      <c r="G145">
        <v>38.894193548387094</v>
      </c>
      <c r="H145">
        <v>25.99</v>
      </c>
      <c r="I145">
        <v>0</v>
      </c>
      <c r="J145">
        <v>55.405483870967707</v>
      </c>
      <c r="K145">
        <v>8.2610908139452072E-2</v>
      </c>
    </row>
    <row r="146" spans="1:11" x14ac:dyDescent="0.3">
      <c r="A146" s="37">
        <v>1</v>
      </c>
      <c r="B146" t="s">
        <v>223</v>
      </c>
      <c r="C146" t="s">
        <v>500</v>
      </c>
      <c r="D146" t="s">
        <v>502</v>
      </c>
      <c r="E146">
        <v>18</v>
      </c>
      <c r="F146">
        <v>37.26</v>
      </c>
      <c r="G146">
        <v>38.79</v>
      </c>
      <c r="H146">
        <v>25.99</v>
      </c>
      <c r="I146">
        <v>0</v>
      </c>
      <c r="J146">
        <v>53.530000000000022</v>
      </c>
      <c r="K146">
        <v>7.9814516610007782E-2</v>
      </c>
    </row>
    <row r="147" spans="1:11" x14ac:dyDescent="0.3">
      <c r="A147" s="37">
        <v>1</v>
      </c>
      <c r="B147" t="s">
        <v>224</v>
      </c>
      <c r="C147" t="s">
        <v>500</v>
      </c>
      <c r="D147" t="s">
        <v>502</v>
      </c>
      <c r="E147">
        <v>18</v>
      </c>
      <c r="F147">
        <v>37.26</v>
      </c>
      <c r="G147">
        <v>38.763571428571417</v>
      </c>
      <c r="H147">
        <v>52.15</v>
      </c>
      <c r="I147">
        <v>0</v>
      </c>
      <c r="J147">
        <v>79.214285714285666</v>
      </c>
      <c r="K147">
        <v>0.11811040393971151</v>
      </c>
    </row>
    <row r="148" spans="1:11" x14ac:dyDescent="0.3">
      <c r="A148" s="37">
        <v>1</v>
      </c>
      <c r="B148" t="s">
        <v>225</v>
      </c>
      <c r="C148" t="s">
        <v>500</v>
      </c>
      <c r="D148" t="s">
        <v>502</v>
      </c>
      <c r="E148">
        <v>18</v>
      </c>
      <c r="F148">
        <v>37.26</v>
      </c>
      <c r="G148">
        <v>38.737142857142857</v>
      </c>
      <c r="H148">
        <v>52.15</v>
      </c>
      <c r="I148">
        <v>0</v>
      </c>
      <c r="J148">
        <v>78.738571428571447</v>
      </c>
      <c r="K148">
        <v>0.1174011025057724</v>
      </c>
    </row>
    <row r="149" spans="1:11" x14ac:dyDescent="0.3">
      <c r="A149" s="37">
        <v>1</v>
      </c>
      <c r="B149" t="s">
        <v>226</v>
      </c>
      <c r="C149" t="s">
        <v>500</v>
      </c>
      <c r="D149" t="s">
        <v>502</v>
      </c>
      <c r="E149">
        <v>18</v>
      </c>
      <c r="F149">
        <v>37.26</v>
      </c>
      <c r="G149">
        <v>38.710714285714282</v>
      </c>
      <c r="H149">
        <v>52.15</v>
      </c>
      <c r="I149">
        <v>0</v>
      </c>
      <c r="J149">
        <v>78.262857142857115</v>
      </c>
      <c r="K149">
        <v>0.1166918010718332</v>
      </c>
    </row>
    <row r="150" spans="1:11" x14ac:dyDescent="0.3">
      <c r="A150" s="37">
        <v>1</v>
      </c>
      <c r="B150" t="s">
        <v>227</v>
      </c>
      <c r="C150" t="s">
        <v>500</v>
      </c>
      <c r="D150" t="s">
        <v>502</v>
      </c>
      <c r="E150">
        <v>24</v>
      </c>
      <c r="F150">
        <v>37.46</v>
      </c>
      <c r="G150">
        <v>38.684285714285707</v>
      </c>
      <c r="H150">
        <v>52.15</v>
      </c>
      <c r="I150">
        <v>0</v>
      </c>
      <c r="J150">
        <v>81.532857142857125</v>
      </c>
      <c r="K150">
        <v>9.0688798210154312E-2</v>
      </c>
    </row>
    <row r="151" spans="1:11" x14ac:dyDescent="0.3">
      <c r="A151" s="37">
        <v>1</v>
      </c>
      <c r="B151" t="s">
        <v>228</v>
      </c>
      <c r="C151" t="s">
        <v>500</v>
      </c>
      <c r="D151" t="s">
        <v>502</v>
      </c>
      <c r="E151">
        <v>24</v>
      </c>
      <c r="F151">
        <v>37.46</v>
      </c>
      <c r="G151">
        <v>38.657857142857139</v>
      </c>
      <c r="H151">
        <v>52.15</v>
      </c>
      <c r="I151">
        <v>0</v>
      </c>
      <c r="J151">
        <v>80.89857142857133</v>
      </c>
      <c r="K151">
        <v>8.9983283756641899E-2</v>
      </c>
    </row>
    <row r="152" spans="1:11" x14ac:dyDescent="0.3">
      <c r="A152" s="37">
        <v>1</v>
      </c>
      <c r="B152" t="s">
        <v>229</v>
      </c>
      <c r="C152" t="s">
        <v>500</v>
      </c>
      <c r="D152" t="s">
        <v>502</v>
      </c>
      <c r="E152">
        <v>24</v>
      </c>
      <c r="F152">
        <v>37.46</v>
      </c>
      <c r="G152">
        <v>38.631428571428572</v>
      </c>
      <c r="H152">
        <v>52.15</v>
      </c>
      <c r="I152">
        <v>0</v>
      </c>
      <c r="J152">
        <v>80.264285714285705</v>
      </c>
      <c r="K152">
        <v>8.9277769303129681E-2</v>
      </c>
    </row>
    <row r="153" spans="1:11" x14ac:dyDescent="0.3">
      <c r="A153" s="37">
        <v>1</v>
      </c>
      <c r="B153" t="s">
        <v>230</v>
      </c>
      <c r="C153" t="s">
        <v>500</v>
      </c>
      <c r="D153" t="s">
        <v>502</v>
      </c>
      <c r="E153">
        <v>24</v>
      </c>
      <c r="F153">
        <v>37.46</v>
      </c>
      <c r="G153">
        <v>38.604999999999997</v>
      </c>
      <c r="H153">
        <v>52.15</v>
      </c>
      <c r="I153">
        <v>0</v>
      </c>
      <c r="J153">
        <v>79.62999999999991</v>
      </c>
      <c r="K153">
        <v>8.8572254849617268E-2</v>
      </c>
    </row>
    <row r="154" spans="1:11" x14ac:dyDescent="0.3">
      <c r="A154" s="37">
        <v>1</v>
      </c>
      <c r="B154" t="s">
        <v>231</v>
      </c>
      <c r="C154" t="s">
        <v>500</v>
      </c>
      <c r="D154" t="s">
        <v>502</v>
      </c>
      <c r="E154">
        <v>24</v>
      </c>
      <c r="F154">
        <v>37.46</v>
      </c>
      <c r="G154">
        <v>38.578571428571429</v>
      </c>
      <c r="H154">
        <v>52.15</v>
      </c>
      <c r="I154">
        <v>0</v>
      </c>
      <c r="J154">
        <v>78.995714285714286</v>
      </c>
      <c r="K154">
        <v>8.786674039610505E-2</v>
      </c>
    </row>
    <row r="155" spans="1:11" x14ac:dyDescent="0.3">
      <c r="A155" s="37">
        <v>1</v>
      </c>
      <c r="B155" t="s">
        <v>232</v>
      </c>
      <c r="C155" t="s">
        <v>500</v>
      </c>
      <c r="D155" t="s">
        <v>502</v>
      </c>
      <c r="E155">
        <v>24</v>
      </c>
      <c r="F155">
        <v>37.46</v>
      </c>
      <c r="G155">
        <v>38.552142857142847</v>
      </c>
      <c r="H155">
        <v>52.15</v>
      </c>
      <c r="I155">
        <v>0</v>
      </c>
      <c r="J155">
        <v>78.36142857142849</v>
      </c>
      <c r="K155">
        <v>8.7161225942592652E-2</v>
      </c>
    </row>
    <row r="156" spans="1:11" x14ac:dyDescent="0.3">
      <c r="A156" s="37">
        <v>1</v>
      </c>
      <c r="B156" t="s">
        <v>233</v>
      </c>
      <c r="C156" t="s">
        <v>500</v>
      </c>
      <c r="D156" t="s">
        <v>502</v>
      </c>
      <c r="E156">
        <v>24</v>
      </c>
      <c r="F156">
        <v>37.46</v>
      </c>
      <c r="G156">
        <v>38.525714285714287</v>
      </c>
      <c r="H156">
        <v>52.15</v>
      </c>
      <c r="I156">
        <v>0</v>
      </c>
      <c r="J156">
        <v>77.727142857142866</v>
      </c>
      <c r="K156">
        <v>8.6455711489080433E-2</v>
      </c>
    </row>
    <row r="157" spans="1:11" x14ac:dyDescent="0.3">
      <c r="A157" s="37">
        <v>1</v>
      </c>
      <c r="B157" t="s">
        <v>234</v>
      </c>
      <c r="C157" t="s">
        <v>500</v>
      </c>
      <c r="D157" t="s">
        <v>502</v>
      </c>
      <c r="E157">
        <v>24</v>
      </c>
      <c r="F157">
        <v>37.46</v>
      </c>
      <c r="G157">
        <v>38.499285714285712</v>
      </c>
      <c r="H157">
        <v>52.15</v>
      </c>
      <c r="I157">
        <v>0</v>
      </c>
      <c r="J157">
        <v>77.092857142857071</v>
      </c>
      <c r="K157">
        <v>8.5750197035568021E-2</v>
      </c>
    </row>
    <row r="158" spans="1:11" x14ac:dyDescent="0.3">
      <c r="A158" s="37">
        <v>1</v>
      </c>
      <c r="B158" t="s">
        <v>235</v>
      </c>
      <c r="C158" t="s">
        <v>500</v>
      </c>
      <c r="D158" t="s">
        <v>502</v>
      </c>
      <c r="E158">
        <v>24</v>
      </c>
      <c r="F158">
        <v>37.46</v>
      </c>
      <c r="G158">
        <v>38.472857142857137</v>
      </c>
      <c r="H158">
        <v>52.15</v>
      </c>
      <c r="I158">
        <v>0</v>
      </c>
      <c r="J158">
        <v>76.458571428571446</v>
      </c>
      <c r="K158">
        <v>8.5044682582055803E-2</v>
      </c>
    </row>
    <row r="159" spans="1:11" x14ac:dyDescent="0.3">
      <c r="A159" s="37">
        <v>1</v>
      </c>
      <c r="B159" t="s">
        <v>236</v>
      </c>
      <c r="C159" t="s">
        <v>500</v>
      </c>
      <c r="D159" t="s">
        <v>502</v>
      </c>
      <c r="E159">
        <v>24</v>
      </c>
      <c r="F159">
        <v>37.46</v>
      </c>
      <c r="G159">
        <v>38.446428571428569</v>
      </c>
      <c r="H159">
        <v>52.15</v>
      </c>
      <c r="I159">
        <v>0</v>
      </c>
      <c r="J159">
        <v>75.824285714285651</v>
      </c>
      <c r="K159">
        <v>8.433916812854339E-2</v>
      </c>
    </row>
    <row r="160" spans="1:11" x14ac:dyDescent="0.3">
      <c r="A160" s="37">
        <v>1</v>
      </c>
      <c r="B160" t="s">
        <v>237</v>
      </c>
      <c r="C160" t="s">
        <v>500</v>
      </c>
      <c r="D160" t="s">
        <v>502</v>
      </c>
      <c r="E160">
        <v>24</v>
      </c>
      <c r="F160">
        <v>37.46</v>
      </c>
      <c r="G160">
        <v>38.42</v>
      </c>
      <c r="H160">
        <v>52.15</v>
      </c>
      <c r="I160">
        <v>0</v>
      </c>
      <c r="J160">
        <v>75.190000000000026</v>
      </c>
      <c r="K160">
        <v>8.3633653675031172E-2</v>
      </c>
    </row>
    <row r="161" spans="1:11" x14ac:dyDescent="0.3">
      <c r="A161" s="37">
        <v>1</v>
      </c>
      <c r="B161" t="s">
        <v>238</v>
      </c>
      <c r="C161" t="s">
        <v>500</v>
      </c>
      <c r="D161" t="s">
        <v>502</v>
      </c>
      <c r="E161">
        <v>24</v>
      </c>
      <c r="F161">
        <v>37.46</v>
      </c>
      <c r="G161">
        <v>38.393571428571427</v>
      </c>
      <c r="H161">
        <v>52.15</v>
      </c>
      <c r="I161">
        <v>0</v>
      </c>
      <c r="J161">
        <v>74.555714285714231</v>
      </c>
      <c r="K161">
        <v>8.2928139221518773E-2</v>
      </c>
    </row>
    <row r="162" spans="1:11" x14ac:dyDescent="0.3">
      <c r="A162" s="37">
        <v>1</v>
      </c>
      <c r="B162" t="s">
        <v>239</v>
      </c>
      <c r="C162" t="s">
        <v>500</v>
      </c>
      <c r="D162" t="s">
        <v>502</v>
      </c>
      <c r="E162">
        <v>24</v>
      </c>
      <c r="F162">
        <v>37.46</v>
      </c>
      <c r="G162">
        <v>38.367142857142852</v>
      </c>
      <c r="H162">
        <v>52.15</v>
      </c>
      <c r="I162">
        <v>0</v>
      </c>
      <c r="J162">
        <v>73.921428571428436</v>
      </c>
      <c r="K162">
        <v>8.2222624768006361E-2</v>
      </c>
    </row>
    <row r="163" spans="1:11" x14ac:dyDescent="0.3">
      <c r="A163" s="37">
        <v>1</v>
      </c>
      <c r="B163" t="s">
        <v>240</v>
      </c>
      <c r="C163" t="s">
        <v>500</v>
      </c>
      <c r="D163" t="s">
        <v>502</v>
      </c>
      <c r="E163">
        <v>24</v>
      </c>
      <c r="F163">
        <v>37.46</v>
      </c>
      <c r="G163">
        <v>38.340714285714277</v>
      </c>
      <c r="H163">
        <v>52.15</v>
      </c>
      <c r="I163">
        <v>0</v>
      </c>
      <c r="J163">
        <v>73.287142857142811</v>
      </c>
      <c r="K163">
        <v>8.1517110314494143E-2</v>
      </c>
    </row>
    <row r="164" spans="1:11" x14ac:dyDescent="0.3">
      <c r="A164" s="37">
        <v>1</v>
      </c>
      <c r="B164" t="s">
        <v>241</v>
      </c>
      <c r="C164" t="s">
        <v>500</v>
      </c>
      <c r="D164" t="s">
        <v>502</v>
      </c>
      <c r="E164">
        <v>24</v>
      </c>
      <c r="F164">
        <v>37.46</v>
      </c>
      <c r="G164">
        <v>38.31428571428571</v>
      </c>
      <c r="H164">
        <v>52.15</v>
      </c>
      <c r="I164">
        <v>0</v>
      </c>
      <c r="J164">
        <v>72.652857142857016</v>
      </c>
      <c r="K164">
        <v>8.081159586098173E-2</v>
      </c>
    </row>
    <row r="165" spans="1:11" x14ac:dyDescent="0.3">
      <c r="A165" s="37">
        <v>1</v>
      </c>
      <c r="B165" t="s">
        <v>242</v>
      </c>
      <c r="C165" t="s">
        <v>500</v>
      </c>
      <c r="D165" t="s">
        <v>502</v>
      </c>
      <c r="E165">
        <v>24</v>
      </c>
      <c r="F165">
        <v>37.46</v>
      </c>
      <c r="G165">
        <v>38.287857142857142</v>
      </c>
      <c r="H165">
        <v>52.15</v>
      </c>
      <c r="I165">
        <v>0</v>
      </c>
      <c r="J165">
        <v>72.018571428571391</v>
      </c>
      <c r="K165">
        <v>8.0106081407469512E-2</v>
      </c>
    </row>
    <row r="166" spans="1:11" x14ac:dyDescent="0.3">
      <c r="A166" s="37">
        <v>1</v>
      </c>
      <c r="B166" t="s">
        <v>243</v>
      </c>
      <c r="C166" t="s">
        <v>500</v>
      </c>
      <c r="D166" t="s">
        <v>502</v>
      </c>
      <c r="E166">
        <v>24</v>
      </c>
      <c r="F166">
        <v>37.46</v>
      </c>
      <c r="G166">
        <v>38.261428571428567</v>
      </c>
      <c r="H166">
        <v>52.15</v>
      </c>
      <c r="I166">
        <v>0</v>
      </c>
      <c r="J166">
        <v>71.384285714285596</v>
      </c>
      <c r="K166">
        <v>7.9400566953957114E-2</v>
      </c>
    </row>
    <row r="167" spans="1:11" x14ac:dyDescent="0.3">
      <c r="A167" s="37">
        <v>1</v>
      </c>
      <c r="B167" t="s">
        <v>244</v>
      </c>
      <c r="C167" t="s">
        <v>500</v>
      </c>
      <c r="D167" t="s">
        <v>502</v>
      </c>
      <c r="E167">
        <v>24</v>
      </c>
      <c r="F167">
        <v>37.46</v>
      </c>
      <c r="G167">
        <v>38.234999999999999</v>
      </c>
      <c r="H167">
        <v>52.15</v>
      </c>
      <c r="I167">
        <v>0</v>
      </c>
      <c r="J167">
        <v>70.749999999999972</v>
      </c>
      <c r="K167">
        <v>7.8695052500444895E-2</v>
      </c>
    </row>
    <row r="168" spans="1:11" x14ac:dyDescent="0.3">
      <c r="A168" s="37">
        <v>1</v>
      </c>
      <c r="B168" t="s">
        <v>245</v>
      </c>
      <c r="C168" t="s">
        <v>500</v>
      </c>
      <c r="D168" t="s">
        <v>502</v>
      </c>
      <c r="E168">
        <v>24</v>
      </c>
      <c r="F168">
        <v>37.46</v>
      </c>
      <c r="G168">
        <v>38.208571428571418</v>
      </c>
      <c r="H168">
        <v>52.15</v>
      </c>
      <c r="I168">
        <v>0</v>
      </c>
      <c r="J168">
        <v>70.115714285714176</v>
      </c>
      <c r="K168">
        <v>7.7989538046932483E-2</v>
      </c>
    </row>
    <row r="169" spans="1:11" x14ac:dyDescent="0.3">
      <c r="A169" s="37">
        <v>1</v>
      </c>
      <c r="B169" t="s">
        <v>246</v>
      </c>
      <c r="C169" t="s">
        <v>500</v>
      </c>
      <c r="D169" t="s">
        <v>502</v>
      </c>
      <c r="E169">
        <v>24</v>
      </c>
      <c r="F169">
        <v>37.46</v>
      </c>
      <c r="G169">
        <v>38.182142857142857</v>
      </c>
      <c r="H169">
        <v>52.15</v>
      </c>
      <c r="I169">
        <v>0</v>
      </c>
      <c r="J169">
        <v>69.481428571428552</v>
      </c>
      <c r="K169">
        <v>7.7284023593420265E-2</v>
      </c>
    </row>
    <row r="170" spans="1:11" x14ac:dyDescent="0.3">
      <c r="A170" s="37">
        <v>1</v>
      </c>
      <c r="B170" t="s">
        <v>247</v>
      </c>
      <c r="C170" t="s">
        <v>500</v>
      </c>
      <c r="D170" t="s">
        <v>502</v>
      </c>
      <c r="E170">
        <v>24</v>
      </c>
      <c r="F170">
        <v>37.46</v>
      </c>
      <c r="G170">
        <v>38.155714285714282</v>
      </c>
      <c r="H170">
        <v>52.15</v>
      </c>
      <c r="I170">
        <v>0</v>
      </c>
      <c r="J170">
        <v>68.847142857142757</v>
      </c>
      <c r="K170">
        <v>7.6578509139907852E-2</v>
      </c>
    </row>
    <row r="171" spans="1:11" x14ac:dyDescent="0.3">
      <c r="A171" s="37">
        <v>1</v>
      </c>
      <c r="B171" t="s">
        <v>248</v>
      </c>
      <c r="C171" t="s">
        <v>500</v>
      </c>
      <c r="D171" t="s">
        <v>502</v>
      </c>
      <c r="E171">
        <v>24</v>
      </c>
      <c r="F171">
        <v>37.46</v>
      </c>
      <c r="G171">
        <v>38.129285714285707</v>
      </c>
      <c r="H171">
        <v>52.15</v>
      </c>
      <c r="I171">
        <v>0</v>
      </c>
      <c r="J171">
        <v>68.212857142857132</v>
      </c>
      <c r="K171">
        <v>7.5872994686395634E-2</v>
      </c>
    </row>
    <row r="172" spans="1:11" x14ac:dyDescent="0.3">
      <c r="A172" s="37">
        <v>1</v>
      </c>
      <c r="B172" t="s">
        <v>249</v>
      </c>
      <c r="C172" t="s">
        <v>500</v>
      </c>
      <c r="D172" t="s">
        <v>502</v>
      </c>
      <c r="E172">
        <v>24</v>
      </c>
      <c r="F172">
        <v>37.46</v>
      </c>
      <c r="G172">
        <v>38.10285714285714</v>
      </c>
      <c r="H172">
        <v>52.15</v>
      </c>
      <c r="I172">
        <v>0</v>
      </c>
      <c r="J172">
        <v>67.578571428571337</v>
      </c>
      <c r="K172">
        <v>7.5167480232883235E-2</v>
      </c>
    </row>
    <row r="173" spans="1:11" x14ac:dyDescent="0.3">
      <c r="A173" s="37">
        <v>1</v>
      </c>
      <c r="B173" t="s">
        <v>250</v>
      </c>
      <c r="C173" t="s">
        <v>500</v>
      </c>
      <c r="D173" t="s">
        <v>502</v>
      </c>
      <c r="E173">
        <v>24</v>
      </c>
      <c r="F173">
        <v>37.46</v>
      </c>
      <c r="G173">
        <v>38.076428571428572</v>
      </c>
      <c r="H173">
        <v>52.15</v>
      </c>
      <c r="I173">
        <v>0</v>
      </c>
      <c r="J173">
        <v>66.944285714285712</v>
      </c>
      <c r="K173">
        <v>7.4461965779371017E-2</v>
      </c>
    </row>
    <row r="174" spans="1:11" x14ac:dyDescent="0.3">
      <c r="A174" s="37">
        <v>1</v>
      </c>
      <c r="B174" t="s">
        <v>251</v>
      </c>
      <c r="C174" t="s">
        <v>500</v>
      </c>
      <c r="D174" t="s">
        <v>502</v>
      </c>
      <c r="E174">
        <v>24</v>
      </c>
      <c r="F174">
        <v>37.46</v>
      </c>
      <c r="G174">
        <v>38.049999999999997</v>
      </c>
      <c r="H174">
        <v>52.15</v>
      </c>
      <c r="I174">
        <v>0</v>
      </c>
      <c r="J174">
        <v>66.309999999999917</v>
      </c>
      <c r="K174">
        <v>7.3756451325858605E-2</v>
      </c>
    </row>
    <row r="175" spans="1:11" x14ac:dyDescent="0.3">
      <c r="A175" s="37">
        <v>1</v>
      </c>
      <c r="B175" t="s">
        <v>252</v>
      </c>
      <c r="C175" t="s">
        <v>500</v>
      </c>
      <c r="D175" t="s">
        <v>502</v>
      </c>
      <c r="E175">
        <v>24</v>
      </c>
      <c r="F175">
        <v>37.46</v>
      </c>
      <c r="G175">
        <v>38.030606060606061</v>
      </c>
      <c r="H175">
        <v>52.15</v>
      </c>
      <c r="I175">
        <v>0</v>
      </c>
      <c r="J175">
        <v>65.844545454545454</v>
      </c>
      <c r="K175">
        <v>7.3238727369800513E-2</v>
      </c>
    </row>
    <row r="176" spans="1:11" x14ac:dyDescent="0.3">
      <c r="A176" s="37">
        <v>1</v>
      </c>
      <c r="B176" t="s">
        <v>253</v>
      </c>
      <c r="C176" t="s">
        <v>500</v>
      </c>
      <c r="D176" t="s">
        <v>502</v>
      </c>
      <c r="E176">
        <v>24</v>
      </c>
      <c r="F176">
        <v>37.46</v>
      </c>
      <c r="G176">
        <v>38.011212121212118</v>
      </c>
      <c r="H176">
        <v>52.15</v>
      </c>
      <c r="I176">
        <v>0</v>
      </c>
      <c r="J176">
        <v>65.37909090909082</v>
      </c>
      <c r="K176">
        <v>7.2721003413742241E-2</v>
      </c>
    </row>
    <row r="177" spans="1:11" x14ac:dyDescent="0.3">
      <c r="A177" s="37">
        <v>1</v>
      </c>
      <c r="B177" t="s">
        <v>254</v>
      </c>
      <c r="C177" t="s">
        <v>500</v>
      </c>
      <c r="D177" t="s">
        <v>502</v>
      </c>
      <c r="E177">
        <v>24</v>
      </c>
      <c r="F177">
        <v>37.46</v>
      </c>
      <c r="G177">
        <v>37.991818181818182</v>
      </c>
      <c r="H177">
        <v>52.15</v>
      </c>
      <c r="I177">
        <v>0</v>
      </c>
      <c r="J177">
        <v>64.913636363636357</v>
      </c>
      <c r="K177">
        <v>7.220327945768415E-2</v>
      </c>
    </row>
    <row r="178" spans="1:11" x14ac:dyDescent="0.3">
      <c r="A178" s="37">
        <v>1</v>
      </c>
      <c r="B178" t="s">
        <v>255</v>
      </c>
      <c r="C178" t="s">
        <v>500</v>
      </c>
      <c r="D178" t="s">
        <v>502</v>
      </c>
      <c r="E178">
        <v>24</v>
      </c>
      <c r="F178">
        <v>37.46</v>
      </c>
      <c r="G178">
        <v>37.972424242424239</v>
      </c>
      <c r="H178">
        <v>52.15</v>
      </c>
      <c r="I178">
        <v>0</v>
      </c>
      <c r="J178">
        <v>64.448181818181723</v>
      </c>
      <c r="K178">
        <v>7.1685555501625878E-2</v>
      </c>
    </row>
    <row r="179" spans="1:11" x14ac:dyDescent="0.3">
      <c r="A179" s="37">
        <v>1</v>
      </c>
      <c r="B179" t="s">
        <v>256</v>
      </c>
      <c r="C179" t="s">
        <v>500</v>
      </c>
      <c r="D179" t="s">
        <v>502</v>
      </c>
      <c r="E179">
        <v>24</v>
      </c>
      <c r="F179">
        <v>37.46</v>
      </c>
      <c r="G179">
        <v>37.953030303030303</v>
      </c>
      <c r="H179">
        <v>52.15</v>
      </c>
      <c r="I179">
        <v>0</v>
      </c>
      <c r="J179">
        <v>63.982727272727253</v>
      </c>
      <c r="K179">
        <v>7.1167831545567772E-2</v>
      </c>
    </row>
    <row r="180" spans="1:11" x14ac:dyDescent="0.3">
      <c r="A180" s="37">
        <v>1</v>
      </c>
      <c r="B180" t="s">
        <v>257</v>
      </c>
      <c r="C180" t="s">
        <v>500</v>
      </c>
      <c r="D180" t="s">
        <v>502</v>
      </c>
      <c r="E180">
        <v>24</v>
      </c>
      <c r="F180">
        <v>37.46</v>
      </c>
      <c r="G180">
        <v>37.93363636363636</v>
      </c>
      <c r="H180">
        <v>52.15</v>
      </c>
      <c r="I180">
        <v>0</v>
      </c>
      <c r="J180">
        <v>63.517272727272619</v>
      </c>
      <c r="K180">
        <v>7.06501075895095E-2</v>
      </c>
    </row>
    <row r="181" spans="1:11" x14ac:dyDescent="0.3">
      <c r="A181" s="37">
        <v>1</v>
      </c>
      <c r="B181" t="s">
        <v>258</v>
      </c>
      <c r="C181" t="s">
        <v>500</v>
      </c>
      <c r="D181" t="s">
        <v>502</v>
      </c>
      <c r="E181">
        <v>24</v>
      </c>
      <c r="F181">
        <v>37.46</v>
      </c>
      <c r="G181">
        <v>37.914242424242417</v>
      </c>
      <c r="H181">
        <v>52.15</v>
      </c>
      <c r="I181">
        <v>0</v>
      </c>
      <c r="J181">
        <v>63.051818181818163</v>
      </c>
      <c r="K181">
        <v>7.0132383633451409E-2</v>
      </c>
    </row>
    <row r="182" spans="1:11" x14ac:dyDescent="0.3">
      <c r="A182" s="37">
        <v>1</v>
      </c>
      <c r="B182" t="s">
        <v>259</v>
      </c>
      <c r="C182" t="s">
        <v>500</v>
      </c>
      <c r="D182" t="s">
        <v>502</v>
      </c>
      <c r="E182">
        <v>24</v>
      </c>
      <c r="F182">
        <v>37.46</v>
      </c>
      <c r="G182">
        <v>37.894848484848481</v>
      </c>
      <c r="H182">
        <v>52.15</v>
      </c>
      <c r="I182">
        <v>0</v>
      </c>
      <c r="J182">
        <v>62.586363636363522</v>
      </c>
      <c r="K182">
        <v>6.9614659677393137E-2</v>
      </c>
    </row>
    <row r="183" spans="1:11" x14ac:dyDescent="0.3">
      <c r="A183" s="37">
        <v>1</v>
      </c>
      <c r="B183" t="s">
        <v>260</v>
      </c>
      <c r="C183" t="s">
        <v>500</v>
      </c>
      <c r="D183" t="s">
        <v>502</v>
      </c>
      <c r="E183">
        <v>24</v>
      </c>
      <c r="F183">
        <v>37.46</v>
      </c>
      <c r="G183">
        <v>37.875454545454552</v>
      </c>
      <c r="H183">
        <v>52.15</v>
      </c>
      <c r="I183">
        <v>0</v>
      </c>
      <c r="J183">
        <v>62.120909090909059</v>
      </c>
      <c r="K183">
        <v>6.9096935721335045E-2</v>
      </c>
    </row>
    <row r="184" spans="1:11" x14ac:dyDescent="0.3">
      <c r="A184" s="37">
        <v>1</v>
      </c>
      <c r="B184" t="s">
        <v>261</v>
      </c>
      <c r="C184" t="s">
        <v>500</v>
      </c>
      <c r="D184" t="s">
        <v>502</v>
      </c>
      <c r="E184">
        <v>24</v>
      </c>
      <c r="F184">
        <v>37.46</v>
      </c>
      <c r="G184">
        <v>37.856060606060602</v>
      </c>
      <c r="H184">
        <v>52.15</v>
      </c>
      <c r="I184">
        <v>0</v>
      </c>
      <c r="J184">
        <v>61.655454545454432</v>
      </c>
      <c r="K184">
        <v>6.8579211765276774E-2</v>
      </c>
    </row>
    <row r="185" spans="1:11" x14ac:dyDescent="0.3">
      <c r="A185" s="37">
        <v>1</v>
      </c>
      <c r="B185" t="s">
        <v>262</v>
      </c>
      <c r="C185" t="s">
        <v>500</v>
      </c>
      <c r="D185" t="s">
        <v>502</v>
      </c>
      <c r="E185">
        <v>24</v>
      </c>
      <c r="F185">
        <v>37.46</v>
      </c>
      <c r="G185">
        <v>37.836666666666673</v>
      </c>
      <c r="H185">
        <v>52.15</v>
      </c>
      <c r="I185">
        <v>0</v>
      </c>
      <c r="J185">
        <v>61.189999999999962</v>
      </c>
      <c r="K185">
        <v>6.8061487809218682E-2</v>
      </c>
    </row>
    <row r="186" spans="1:11" x14ac:dyDescent="0.3">
      <c r="A186" s="37">
        <v>1</v>
      </c>
      <c r="B186" t="s">
        <v>263</v>
      </c>
      <c r="C186" t="s">
        <v>500</v>
      </c>
      <c r="D186" t="s">
        <v>502</v>
      </c>
      <c r="E186">
        <v>24</v>
      </c>
      <c r="F186">
        <v>37.46</v>
      </c>
      <c r="G186">
        <v>37.817272727272723</v>
      </c>
      <c r="H186">
        <v>52.15</v>
      </c>
      <c r="I186">
        <v>0</v>
      </c>
      <c r="J186">
        <v>60.724545454545328</v>
      </c>
      <c r="K186">
        <v>6.754376385316041E-2</v>
      </c>
    </row>
    <row r="187" spans="1:11" x14ac:dyDescent="0.3">
      <c r="A187" s="37">
        <v>1</v>
      </c>
      <c r="B187" t="s">
        <v>264</v>
      </c>
      <c r="C187" t="s">
        <v>500</v>
      </c>
      <c r="D187" t="s">
        <v>502</v>
      </c>
      <c r="E187">
        <v>24</v>
      </c>
      <c r="F187">
        <v>37.46</v>
      </c>
      <c r="G187">
        <v>37.797878787878787</v>
      </c>
      <c r="H187">
        <v>52.15</v>
      </c>
      <c r="I187">
        <v>0</v>
      </c>
      <c r="J187">
        <v>60.259090909090872</v>
      </c>
      <c r="K187">
        <v>6.7026039897102319E-2</v>
      </c>
    </row>
    <row r="188" spans="1:11" x14ac:dyDescent="0.3">
      <c r="A188" s="37">
        <v>1</v>
      </c>
      <c r="B188" t="s">
        <v>265</v>
      </c>
      <c r="C188" t="s">
        <v>500</v>
      </c>
      <c r="D188" t="s">
        <v>502</v>
      </c>
      <c r="E188">
        <v>24</v>
      </c>
      <c r="F188">
        <v>37.46</v>
      </c>
      <c r="G188">
        <v>37.778484848484837</v>
      </c>
      <c r="H188">
        <v>52.15</v>
      </c>
      <c r="I188">
        <v>0</v>
      </c>
      <c r="J188">
        <v>59.793636363636232</v>
      </c>
      <c r="K188">
        <v>6.6508315941044047E-2</v>
      </c>
    </row>
    <row r="189" spans="1:11" x14ac:dyDescent="0.3">
      <c r="A189" s="37">
        <v>1</v>
      </c>
      <c r="B189" t="s">
        <v>266</v>
      </c>
      <c r="C189" t="s">
        <v>500</v>
      </c>
      <c r="D189" t="s">
        <v>502</v>
      </c>
      <c r="E189">
        <v>24</v>
      </c>
      <c r="F189">
        <v>37.46</v>
      </c>
      <c r="G189">
        <v>37.759090909090908</v>
      </c>
      <c r="H189">
        <v>52.15</v>
      </c>
      <c r="I189">
        <v>0</v>
      </c>
      <c r="J189">
        <v>59.328181818181768</v>
      </c>
      <c r="K189">
        <v>6.5990591984985955E-2</v>
      </c>
    </row>
    <row r="190" spans="1:11" x14ac:dyDescent="0.3">
      <c r="A190" s="37">
        <v>1</v>
      </c>
      <c r="B190" t="s">
        <v>267</v>
      </c>
      <c r="C190" t="s">
        <v>500</v>
      </c>
      <c r="D190" t="s">
        <v>502</v>
      </c>
      <c r="E190">
        <v>24</v>
      </c>
      <c r="F190">
        <v>37.46</v>
      </c>
      <c r="G190">
        <v>37.739696969696958</v>
      </c>
      <c r="H190">
        <v>52.15</v>
      </c>
      <c r="I190">
        <v>0</v>
      </c>
      <c r="J190">
        <v>58.862727272727128</v>
      </c>
      <c r="K190">
        <v>6.5472868028927669E-2</v>
      </c>
    </row>
    <row r="191" spans="1:11" x14ac:dyDescent="0.3">
      <c r="A191" s="37">
        <v>1</v>
      </c>
      <c r="B191" t="s">
        <v>268</v>
      </c>
      <c r="C191" t="s">
        <v>500</v>
      </c>
      <c r="D191" t="s">
        <v>502</v>
      </c>
      <c r="E191">
        <v>24</v>
      </c>
      <c r="F191">
        <v>37.46</v>
      </c>
      <c r="G191">
        <v>37.720303030303029</v>
      </c>
      <c r="H191">
        <v>52.15</v>
      </c>
      <c r="I191">
        <v>0</v>
      </c>
      <c r="J191">
        <v>58.397272727272671</v>
      </c>
      <c r="K191">
        <v>6.4955144072869592E-2</v>
      </c>
    </row>
    <row r="192" spans="1:11" x14ac:dyDescent="0.3">
      <c r="A192" s="37">
        <v>1</v>
      </c>
      <c r="B192" t="s">
        <v>269</v>
      </c>
      <c r="C192" t="s">
        <v>500</v>
      </c>
      <c r="D192" t="s">
        <v>502</v>
      </c>
      <c r="E192">
        <v>24</v>
      </c>
      <c r="F192">
        <v>37.46</v>
      </c>
      <c r="G192">
        <v>37.700909090909093</v>
      </c>
      <c r="H192">
        <v>52.15</v>
      </c>
      <c r="I192">
        <v>0</v>
      </c>
      <c r="J192">
        <v>57.931818181818038</v>
      </c>
      <c r="K192">
        <v>6.4437420116811306E-2</v>
      </c>
    </row>
    <row r="193" spans="1:11" x14ac:dyDescent="0.3">
      <c r="A193" s="37">
        <v>1</v>
      </c>
      <c r="B193" t="s">
        <v>270</v>
      </c>
      <c r="C193" t="s">
        <v>500</v>
      </c>
      <c r="D193" t="s">
        <v>502</v>
      </c>
      <c r="E193">
        <v>24</v>
      </c>
      <c r="F193">
        <v>37.46</v>
      </c>
      <c r="G193">
        <v>37.68151515151515</v>
      </c>
      <c r="H193">
        <v>52.15</v>
      </c>
      <c r="I193">
        <v>0</v>
      </c>
      <c r="J193">
        <v>57.466363636363567</v>
      </c>
      <c r="K193">
        <v>6.3919696160753228E-2</v>
      </c>
    </row>
    <row r="194" spans="1:11" x14ac:dyDescent="0.3">
      <c r="A194" s="37">
        <v>1</v>
      </c>
      <c r="B194" t="s">
        <v>271</v>
      </c>
      <c r="C194" t="s">
        <v>500</v>
      </c>
      <c r="D194" t="s">
        <v>502</v>
      </c>
      <c r="E194">
        <v>24</v>
      </c>
      <c r="F194">
        <v>37.46</v>
      </c>
      <c r="G194">
        <v>37.662121212121207</v>
      </c>
      <c r="H194">
        <v>52.15</v>
      </c>
      <c r="I194">
        <v>0</v>
      </c>
      <c r="J194">
        <v>57.000909090908941</v>
      </c>
      <c r="K194">
        <v>6.3401972204694942E-2</v>
      </c>
    </row>
    <row r="195" spans="1:11" x14ac:dyDescent="0.3">
      <c r="A195" s="37">
        <v>1</v>
      </c>
      <c r="B195" t="s">
        <v>272</v>
      </c>
      <c r="C195" t="s">
        <v>500</v>
      </c>
      <c r="D195" t="s">
        <v>502</v>
      </c>
      <c r="E195">
        <v>24</v>
      </c>
      <c r="F195">
        <v>37.46</v>
      </c>
      <c r="G195">
        <v>37.642727272727271</v>
      </c>
      <c r="H195">
        <v>52.15</v>
      </c>
      <c r="I195">
        <v>0</v>
      </c>
      <c r="J195">
        <v>56.535454545454478</v>
      </c>
      <c r="K195">
        <v>6.2884248248636851E-2</v>
      </c>
    </row>
    <row r="196" spans="1:11" x14ac:dyDescent="0.3">
      <c r="A196" s="37">
        <v>1</v>
      </c>
      <c r="B196" t="s">
        <v>273</v>
      </c>
      <c r="C196" t="s">
        <v>500</v>
      </c>
      <c r="D196" t="s">
        <v>502</v>
      </c>
      <c r="E196">
        <v>24</v>
      </c>
      <c r="F196">
        <v>37.46</v>
      </c>
      <c r="G196">
        <v>37.623333333333328</v>
      </c>
      <c r="H196">
        <v>52.15</v>
      </c>
      <c r="I196">
        <v>0</v>
      </c>
      <c r="J196">
        <v>56.069999999999837</v>
      </c>
      <c r="K196">
        <v>6.2366524292578579E-2</v>
      </c>
    </row>
    <row r="197" spans="1:11" x14ac:dyDescent="0.3">
      <c r="A197" s="37">
        <v>1</v>
      </c>
      <c r="B197" t="s">
        <v>274</v>
      </c>
      <c r="C197" t="s">
        <v>500</v>
      </c>
      <c r="D197" t="s">
        <v>502</v>
      </c>
      <c r="E197">
        <v>24</v>
      </c>
      <c r="F197">
        <v>37.46</v>
      </c>
      <c r="G197">
        <v>37.603939393939392</v>
      </c>
      <c r="H197">
        <v>52.15</v>
      </c>
      <c r="I197">
        <v>0</v>
      </c>
      <c r="J197">
        <v>55.604545454545381</v>
      </c>
      <c r="K197">
        <v>6.1848800336520487E-2</v>
      </c>
    </row>
    <row r="198" spans="1:11" x14ac:dyDescent="0.3">
      <c r="A198" s="37">
        <v>1</v>
      </c>
      <c r="B198" t="s">
        <v>275</v>
      </c>
      <c r="C198" t="s">
        <v>500</v>
      </c>
      <c r="D198" t="s">
        <v>502</v>
      </c>
      <c r="E198">
        <v>24</v>
      </c>
      <c r="F198">
        <v>37.46</v>
      </c>
      <c r="G198">
        <v>37.584545454545449</v>
      </c>
      <c r="H198">
        <v>52.15</v>
      </c>
      <c r="I198">
        <v>0</v>
      </c>
      <c r="J198">
        <v>55.139090909090747</v>
      </c>
      <c r="K198">
        <v>6.1331076380462222E-2</v>
      </c>
    </row>
    <row r="199" spans="1:11" x14ac:dyDescent="0.3">
      <c r="A199" s="37">
        <v>1</v>
      </c>
      <c r="B199" t="s">
        <v>276</v>
      </c>
      <c r="C199" t="s">
        <v>500</v>
      </c>
      <c r="D199" t="s">
        <v>502</v>
      </c>
      <c r="E199">
        <v>24</v>
      </c>
      <c r="F199">
        <v>37.46</v>
      </c>
      <c r="G199">
        <v>37.565151515151513</v>
      </c>
      <c r="H199">
        <v>52.15</v>
      </c>
      <c r="I199">
        <v>0</v>
      </c>
      <c r="J199">
        <v>54.673636363636277</v>
      </c>
      <c r="K199">
        <v>6.0813352424404117E-2</v>
      </c>
    </row>
    <row r="200" spans="1:11" x14ac:dyDescent="0.3">
      <c r="A200" s="37">
        <v>1</v>
      </c>
      <c r="B200" t="s">
        <v>277</v>
      </c>
      <c r="C200" t="s">
        <v>500</v>
      </c>
      <c r="D200" t="s">
        <v>502</v>
      </c>
      <c r="E200">
        <v>24</v>
      </c>
      <c r="F200">
        <v>37.46</v>
      </c>
      <c r="G200">
        <v>37.54575757575757</v>
      </c>
      <c r="H200">
        <v>52.15</v>
      </c>
      <c r="I200">
        <v>0</v>
      </c>
      <c r="J200">
        <v>54.20818181818165</v>
      </c>
      <c r="K200">
        <v>6.0295628468345852E-2</v>
      </c>
    </row>
    <row r="201" spans="1:11" x14ac:dyDescent="0.3">
      <c r="A201" s="37">
        <v>1</v>
      </c>
      <c r="B201" t="s">
        <v>278</v>
      </c>
      <c r="C201" t="s">
        <v>500</v>
      </c>
      <c r="D201" t="s">
        <v>502</v>
      </c>
      <c r="E201">
        <v>24</v>
      </c>
      <c r="F201">
        <v>37.46</v>
      </c>
      <c r="G201">
        <v>37.526363636363627</v>
      </c>
      <c r="H201">
        <v>52.15</v>
      </c>
      <c r="I201">
        <v>0</v>
      </c>
      <c r="J201">
        <v>53.742727272727187</v>
      </c>
      <c r="K201">
        <v>5.9777904512287761E-2</v>
      </c>
    </row>
    <row r="202" spans="1:11" x14ac:dyDescent="0.3">
      <c r="A202" s="37">
        <v>1</v>
      </c>
      <c r="B202" t="s">
        <v>279</v>
      </c>
      <c r="C202" t="s">
        <v>500</v>
      </c>
      <c r="D202" t="s">
        <v>502</v>
      </c>
      <c r="E202">
        <v>24</v>
      </c>
      <c r="F202">
        <v>37.46</v>
      </c>
      <c r="G202">
        <v>37.506969696969691</v>
      </c>
      <c r="H202">
        <v>52.15</v>
      </c>
      <c r="I202">
        <v>0</v>
      </c>
      <c r="J202">
        <v>53.277272727272553</v>
      </c>
      <c r="K202">
        <v>5.9260180556229482E-2</v>
      </c>
    </row>
    <row r="203" spans="1:11" x14ac:dyDescent="0.3">
      <c r="A203" s="37">
        <v>1</v>
      </c>
      <c r="B203" t="s">
        <v>280</v>
      </c>
      <c r="C203" t="s">
        <v>500</v>
      </c>
      <c r="D203" t="s">
        <v>502</v>
      </c>
      <c r="E203">
        <v>24</v>
      </c>
      <c r="F203">
        <v>37.46</v>
      </c>
      <c r="G203">
        <v>37.487575757575748</v>
      </c>
      <c r="H203">
        <v>52.15</v>
      </c>
      <c r="I203">
        <v>0</v>
      </c>
      <c r="J203">
        <v>52.81181818181809</v>
      </c>
      <c r="K203">
        <v>5.8742456600171397E-2</v>
      </c>
    </row>
    <row r="204" spans="1:11" x14ac:dyDescent="0.3">
      <c r="A204" s="37">
        <v>1</v>
      </c>
      <c r="B204" t="s">
        <v>281</v>
      </c>
      <c r="C204" t="s">
        <v>500</v>
      </c>
      <c r="D204" t="s">
        <v>502</v>
      </c>
      <c r="E204">
        <v>24</v>
      </c>
      <c r="F204">
        <v>37.46</v>
      </c>
      <c r="G204">
        <v>37.468181818181812</v>
      </c>
      <c r="H204">
        <v>52.15</v>
      </c>
      <c r="I204">
        <v>0</v>
      </c>
      <c r="J204">
        <v>52.346363636363463</v>
      </c>
      <c r="K204">
        <v>5.8224732644113118E-2</v>
      </c>
    </row>
    <row r="205" spans="1:11" x14ac:dyDescent="0.3">
      <c r="A205" s="37">
        <v>1</v>
      </c>
      <c r="B205" t="s">
        <v>282</v>
      </c>
      <c r="C205" t="s">
        <v>500</v>
      </c>
      <c r="D205" t="s">
        <v>502</v>
      </c>
      <c r="E205">
        <v>24</v>
      </c>
      <c r="F205">
        <v>37.46</v>
      </c>
      <c r="G205">
        <v>37.448787878787883</v>
      </c>
      <c r="H205">
        <v>52.15</v>
      </c>
      <c r="I205">
        <v>0</v>
      </c>
      <c r="J205">
        <v>51.880909090908993</v>
      </c>
      <c r="K205">
        <v>5.7707008688055027E-2</v>
      </c>
    </row>
    <row r="206" spans="1:11" x14ac:dyDescent="0.3">
      <c r="A206" s="37">
        <v>1</v>
      </c>
      <c r="B206" t="s">
        <v>283</v>
      </c>
      <c r="C206" t="s">
        <v>500</v>
      </c>
      <c r="D206" t="s">
        <v>502</v>
      </c>
      <c r="E206">
        <v>24</v>
      </c>
      <c r="F206">
        <v>37.46</v>
      </c>
      <c r="G206">
        <v>37.429393939393933</v>
      </c>
      <c r="H206">
        <v>52.15</v>
      </c>
      <c r="I206">
        <v>0</v>
      </c>
      <c r="J206">
        <v>51.415454545454359</v>
      </c>
      <c r="K206">
        <v>5.7189284731996748E-2</v>
      </c>
    </row>
    <row r="207" spans="1:11" x14ac:dyDescent="0.3">
      <c r="A207" s="37">
        <v>1</v>
      </c>
      <c r="B207" t="s">
        <v>284</v>
      </c>
      <c r="C207" t="s">
        <v>500</v>
      </c>
      <c r="D207" t="s">
        <v>502</v>
      </c>
      <c r="E207">
        <v>24</v>
      </c>
      <c r="F207">
        <v>37.46</v>
      </c>
      <c r="G207">
        <v>37.409999999999997</v>
      </c>
      <c r="H207">
        <v>52.15</v>
      </c>
      <c r="I207">
        <v>0</v>
      </c>
      <c r="J207">
        <v>50.949999999999903</v>
      </c>
      <c r="K207">
        <v>5.6671560775938663E-2</v>
      </c>
    </row>
    <row r="208" spans="1:11" x14ac:dyDescent="0.3">
      <c r="A208" s="37">
        <v>1</v>
      </c>
      <c r="B208" t="s">
        <v>285</v>
      </c>
      <c r="C208" t="s">
        <v>500</v>
      </c>
      <c r="D208" t="s">
        <v>502</v>
      </c>
      <c r="E208">
        <v>24</v>
      </c>
      <c r="F208">
        <v>37.46</v>
      </c>
      <c r="G208">
        <v>37.475333333333332</v>
      </c>
      <c r="H208">
        <v>62.79</v>
      </c>
      <c r="I208">
        <v>0</v>
      </c>
      <c r="J208">
        <v>63.157999999999937</v>
      </c>
      <c r="K208">
        <v>7.0250489410927139E-2</v>
      </c>
    </row>
    <row r="209" spans="1:11" x14ac:dyDescent="0.3">
      <c r="A209" s="37">
        <v>1</v>
      </c>
      <c r="B209" t="s">
        <v>286</v>
      </c>
      <c r="C209" t="s">
        <v>500</v>
      </c>
      <c r="D209" t="s">
        <v>502</v>
      </c>
      <c r="E209">
        <v>24</v>
      </c>
      <c r="F209">
        <v>37.46</v>
      </c>
      <c r="G209">
        <v>37.540666666666667</v>
      </c>
      <c r="H209">
        <v>62.79</v>
      </c>
      <c r="I209">
        <v>0</v>
      </c>
      <c r="J209">
        <v>64.725999999999971</v>
      </c>
      <c r="K209">
        <v>7.1994571987898173E-2</v>
      </c>
    </row>
    <row r="210" spans="1:11" x14ac:dyDescent="0.3">
      <c r="A210" s="37">
        <v>1</v>
      </c>
      <c r="B210" t="s">
        <v>287</v>
      </c>
      <c r="C210" t="s">
        <v>500</v>
      </c>
      <c r="D210" t="s">
        <v>502</v>
      </c>
      <c r="E210">
        <v>24</v>
      </c>
      <c r="F210">
        <v>37.46</v>
      </c>
      <c r="G210">
        <v>37.605999999999987</v>
      </c>
      <c r="H210">
        <v>62.79</v>
      </c>
      <c r="I210">
        <v>0</v>
      </c>
      <c r="J210">
        <v>66.293999999999841</v>
      </c>
      <c r="K210">
        <v>7.3738654564869013E-2</v>
      </c>
    </row>
    <row r="211" spans="1:11" x14ac:dyDescent="0.3">
      <c r="A211" s="37">
        <v>1</v>
      </c>
      <c r="B211" t="s">
        <v>288</v>
      </c>
      <c r="C211" t="s">
        <v>500</v>
      </c>
      <c r="D211" t="s">
        <v>502</v>
      </c>
      <c r="E211">
        <v>24</v>
      </c>
      <c r="F211">
        <v>37.46</v>
      </c>
      <c r="G211">
        <v>37.67133333333333</v>
      </c>
      <c r="H211">
        <v>62.79</v>
      </c>
      <c r="I211">
        <v>0</v>
      </c>
      <c r="J211">
        <v>67.861999999999881</v>
      </c>
      <c r="K211">
        <v>7.5482737141840062E-2</v>
      </c>
    </row>
    <row r="212" spans="1:11" x14ac:dyDescent="0.3">
      <c r="A212" s="37">
        <v>1</v>
      </c>
      <c r="B212" t="s">
        <v>289</v>
      </c>
      <c r="C212" t="s">
        <v>500</v>
      </c>
      <c r="D212" t="s">
        <v>502</v>
      </c>
      <c r="E212">
        <v>24</v>
      </c>
      <c r="F212">
        <v>37.46</v>
      </c>
      <c r="G212">
        <v>37.736666666666657</v>
      </c>
      <c r="H212">
        <v>62.79</v>
      </c>
      <c r="I212">
        <v>0</v>
      </c>
      <c r="J212">
        <v>69.429999999999922</v>
      </c>
      <c r="K212">
        <v>7.7226819718811096E-2</v>
      </c>
    </row>
    <row r="213" spans="1:11" x14ac:dyDescent="0.3">
      <c r="A213" s="37">
        <v>1</v>
      </c>
      <c r="B213" t="s">
        <v>290</v>
      </c>
      <c r="C213" t="s">
        <v>500</v>
      </c>
      <c r="D213" t="s">
        <v>502</v>
      </c>
      <c r="E213">
        <v>24</v>
      </c>
      <c r="F213">
        <v>37.46</v>
      </c>
      <c r="G213">
        <v>37.802</v>
      </c>
      <c r="H213">
        <v>62.79</v>
      </c>
      <c r="I213">
        <v>0</v>
      </c>
      <c r="J213">
        <v>70.997999999999962</v>
      </c>
      <c r="K213">
        <v>7.897090229578213E-2</v>
      </c>
    </row>
    <row r="214" spans="1:11" x14ac:dyDescent="0.3">
      <c r="A214" s="37">
        <v>1</v>
      </c>
      <c r="B214" t="s">
        <v>291</v>
      </c>
      <c r="C214" t="s">
        <v>500</v>
      </c>
      <c r="D214" t="s">
        <v>502</v>
      </c>
      <c r="E214">
        <v>24</v>
      </c>
      <c r="F214">
        <v>37.46</v>
      </c>
      <c r="G214">
        <v>37.867333333333328</v>
      </c>
      <c r="H214">
        <v>62.79</v>
      </c>
      <c r="I214">
        <v>0</v>
      </c>
      <c r="J214">
        <v>72.565999999999832</v>
      </c>
      <c r="K214">
        <v>8.0714984872752971E-2</v>
      </c>
    </row>
    <row r="215" spans="1:11" x14ac:dyDescent="0.3">
      <c r="A215" s="37">
        <v>1</v>
      </c>
      <c r="B215" t="s">
        <v>292</v>
      </c>
      <c r="C215" t="s">
        <v>500</v>
      </c>
      <c r="D215" t="s">
        <v>502</v>
      </c>
      <c r="E215">
        <v>24</v>
      </c>
      <c r="F215">
        <v>37.46</v>
      </c>
      <c r="G215">
        <v>37.932666666666663</v>
      </c>
      <c r="H215">
        <v>62.79</v>
      </c>
      <c r="I215">
        <v>0</v>
      </c>
      <c r="J215">
        <v>74.133999999999872</v>
      </c>
      <c r="K215">
        <v>8.2459067449724005E-2</v>
      </c>
    </row>
    <row r="216" spans="1:11" x14ac:dyDescent="0.3">
      <c r="A216" s="37">
        <v>1</v>
      </c>
      <c r="B216" t="s">
        <v>293</v>
      </c>
      <c r="C216" t="s">
        <v>500</v>
      </c>
      <c r="D216" t="s">
        <v>502</v>
      </c>
      <c r="E216">
        <v>24</v>
      </c>
      <c r="F216">
        <v>37.46</v>
      </c>
      <c r="G216">
        <v>37.997999999999998</v>
      </c>
      <c r="H216">
        <v>62.79</v>
      </c>
      <c r="I216">
        <v>0</v>
      </c>
      <c r="J216">
        <v>75.701999999999913</v>
      </c>
      <c r="K216">
        <v>8.4203150026695053E-2</v>
      </c>
    </row>
    <row r="217" spans="1:11" x14ac:dyDescent="0.3">
      <c r="A217" s="37">
        <v>1</v>
      </c>
      <c r="B217" t="s">
        <v>294</v>
      </c>
      <c r="C217" t="s">
        <v>500</v>
      </c>
      <c r="D217" t="s">
        <v>502</v>
      </c>
      <c r="E217">
        <v>24</v>
      </c>
      <c r="F217">
        <v>37.46</v>
      </c>
      <c r="G217">
        <v>38.063333333333333</v>
      </c>
      <c r="H217">
        <v>62.79</v>
      </c>
      <c r="I217">
        <v>0</v>
      </c>
      <c r="J217">
        <v>77.269999999999953</v>
      </c>
      <c r="K217">
        <v>8.5947232603666088E-2</v>
      </c>
    </row>
    <row r="218" spans="1:11" x14ac:dyDescent="0.3">
      <c r="A218" s="37">
        <v>1</v>
      </c>
      <c r="B218" t="s">
        <v>295</v>
      </c>
      <c r="C218" t="s">
        <v>500</v>
      </c>
      <c r="D218" t="s">
        <v>502</v>
      </c>
      <c r="E218">
        <v>24</v>
      </c>
      <c r="F218">
        <v>37.46</v>
      </c>
      <c r="G218">
        <v>38.12866666666666</v>
      </c>
      <c r="H218">
        <v>62.79</v>
      </c>
      <c r="I218">
        <v>0</v>
      </c>
      <c r="J218">
        <v>78.837999999999823</v>
      </c>
      <c r="K218">
        <v>8.7691315180636928E-2</v>
      </c>
    </row>
    <row r="219" spans="1:11" x14ac:dyDescent="0.3">
      <c r="A219" s="37">
        <v>1</v>
      </c>
      <c r="B219" t="s">
        <v>296</v>
      </c>
      <c r="C219" t="s">
        <v>500</v>
      </c>
      <c r="D219" t="s">
        <v>502</v>
      </c>
      <c r="E219">
        <v>24</v>
      </c>
      <c r="F219">
        <v>37.46</v>
      </c>
      <c r="G219">
        <v>38.194000000000003</v>
      </c>
      <c r="H219">
        <v>62.79</v>
      </c>
      <c r="I219">
        <v>0</v>
      </c>
      <c r="J219">
        <v>80.405999999999864</v>
      </c>
      <c r="K219">
        <v>8.9435397757607962E-2</v>
      </c>
    </row>
    <row r="220" spans="1:11" x14ac:dyDescent="0.3">
      <c r="A220" s="37">
        <v>1</v>
      </c>
      <c r="B220" t="s">
        <v>297</v>
      </c>
      <c r="C220" t="s">
        <v>500</v>
      </c>
      <c r="D220" t="s">
        <v>502</v>
      </c>
      <c r="E220">
        <v>24</v>
      </c>
      <c r="F220">
        <v>37.46</v>
      </c>
      <c r="G220">
        <v>38.259333333333331</v>
      </c>
      <c r="H220">
        <v>62.79</v>
      </c>
      <c r="I220">
        <v>0</v>
      </c>
      <c r="J220">
        <v>81.973999999999904</v>
      </c>
      <c r="K220">
        <v>9.1179480334579011E-2</v>
      </c>
    </row>
    <row r="221" spans="1:11" x14ac:dyDescent="0.3">
      <c r="A221" s="37">
        <v>1</v>
      </c>
      <c r="B221" t="s">
        <v>298</v>
      </c>
      <c r="C221" t="s">
        <v>500</v>
      </c>
      <c r="D221" t="s">
        <v>502</v>
      </c>
      <c r="E221">
        <v>24</v>
      </c>
      <c r="F221">
        <v>37.46</v>
      </c>
      <c r="G221">
        <v>38.324666666666673</v>
      </c>
      <c r="H221">
        <v>62.79</v>
      </c>
      <c r="I221">
        <v>0</v>
      </c>
      <c r="J221">
        <v>83.541999999999945</v>
      </c>
      <c r="K221">
        <v>9.2923562911550045E-2</v>
      </c>
    </row>
    <row r="222" spans="1:11" x14ac:dyDescent="0.3">
      <c r="A222" s="37">
        <v>1</v>
      </c>
      <c r="B222" t="s">
        <v>299</v>
      </c>
      <c r="C222" t="s">
        <v>500</v>
      </c>
      <c r="D222" t="s">
        <v>502</v>
      </c>
      <c r="E222">
        <v>24</v>
      </c>
      <c r="F222">
        <v>37.46</v>
      </c>
      <c r="G222">
        <v>38.39</v>
      </c>
      <c r="H222">
        <v>62.79</v>
      </c>
      <c r="I222">
        <v>0</v>
      </c>
      <c r="J222">
        <v>85.109999999999985</v>
      </c>
      <c r="K222">
        <v>9.4667645488521079E-2</v>
      </c>
    </row>
    <row r="223" spans="1:11" x14ac:dyDescent="0.3">
      <c r="A223" s="37">
        <v>1</v>
      </c>
      <c r="B223" t="s">
        <v>300</v>
      </c>
      <c r="C223" t="s">
        <v>500</v>
      </c>
      <c r="D223" t="s">
        <v>502</v>
      </c>
      <c r="E223">
        <v>24</v>
      </c>
      <c r="F223">
        <v>37.46</v>
      </c>
      <c r="G223">
        <v>38.455333333333328</v>
      </c>
      <c r="H223">
        <v>62.79</v>
      </c>
      <c r="I223">
        <v>0</v>
      </c>
      <c r="J223">
        <v>86.677999999999855</v>
      </c>
      <c r="K223">
        <v>9.641172806549192E-2</v>
      </c>
    </row>
    <row r="224" spans="1:11" x14ac:dyDescent="0.3">
      <c r="A224" s="37">
        <v>1</v>
      </c>
      <c r="B224" t="s">
        <v>301</v>
      </c>
      <c r="C224" t="s">
        <v>500</v>
      </c>
      <c r="D224" t="s">
        <v>502</v>
      </c>
      <c r="E224">
        <v>24</v>
      </c>
      <c r="F224">
        <v>37.46</v>
      </c>
      <c r="G224">
        <v>38.520666666666664</v>
      </c>
      <c r="H224">
        <v>62.79</v>
      </c>
      <c r="I224">
        <v>0</v>
      </c>
      <c r="J224">
        <v>88.245999999999896</v>
      </c>
      <c r="K224">
        <v>9.8155810642462954E-2</v>
      </c>
    </row>
    <row r="225" spans="1:11" x14ac:dyDescent="0.3">
      <c r="A225" s="37">
        <v>1</v>
      </c>
      <c r="B225" t="s">
        <v>302</v>
      </c>
      <c r="C225" t="s">
        <v>500</v>
      </c>
      <c r="D225" t="s">
        <v>502</v>
      </c>
      <c r="E225">
        <v>24</v>
      </c>
      <c r="F225">
        <v>37.46</v>
      </c>
      <c r="G225">
        <v>38.585999999999999</v>
      </c>
      <c r="H225">
        <v>62.79</v>
      </c>
      <c r="I225">
        <v>0</v>
      </c>
      <c r="J225">
        <v>89.813999999999936</v>
      </c>
      <c r="K225">
        <v>9.9899893219434002E-2</v>
      </c>
    </row>
    <row r="226" spans="1:11" x14ac:dyDescent="0.3">
      <c r="A226" s="37">
        <v>1</v>
      </c>
      <c r="B226" t="s">
        <v>303</v>
      </c>
      <c r="C226" t="s">
        <v>500</v>
      </c>
      <c r="D226" t="s">
        <v>502</v>
      </c>
      <c r="E226">
        <v>24</v>
      </c>
      <c r="F226">
        <v>37.46</v>
      </c>
      <c r="G226">
        <v>38.651333333333334</v>
      </c>
      <c r="H226">
        <v>62.79</v>
      </c>
      <c r="I226">
        <v>0</v>
      </c>
      <c r="J226">
        <v>91.381999999999977</v>
      </c>
      <c r="K226">
        <v>0.101643975796405</v>
      </c>
    </row>
    <row r="227" spans="1:11" x14ac:dyDescent="0.3">
      <c r="A227" s="37">
        <v>1</v>
      </c>
      <c r="B227" t="s">
        <v>304</v>
      </c>
      <c r="C227" t="s">
        <v>500</v>
      </c>
      <c r="D227" t="s">
        <v>502</v>
      </c>
      <c r="E227">
        <v>24</v>
      </c>
      <c r="F227">
        <v>37.46</v>
      </c>
      <c r="G227">
        <v>38.716666666666661</v>
      </c>
      <c r="H227">
        <v>62.79</v>
      </c>
      <c r="I227">
        <v>0</v>
      </c>
      <c r="J227">
        <v>92.949999999999847</v>
      </c>
      <c r="K227">
        <v>0.1033880583733759</v>
      </c>
    </row>
    <row r="228" spans="1:11" x14ac:dyDescent="0.3">
      <c r="A228" s="37">
        <v>1</v>
      </c>
      <c r="B228" t="s">
        <v>305</v>
      </c>
      <c r="C228" t="s">
        <v>500</v>
      </c>
      <c r="D228" t="s">
        <v>502</v>
      </c>
      <c r="E228">
        <v>24</v>
      </c>
      <c r="F228">
        <v>37.46</v>
      </c>
      <c r="G228">
        <v>38.781999999999996</v>
      </c>
      <c r="H228">
        <v>62.79</v>
      </c>
      <c r="I228">
        <v>0</v>
      </c>
      <c r="J228">
        <v>94.517999999999887</v>
      </c>
      <c r="K228">
        <v>0.1051321409503469</v>
      </c>
    </row>
    <row r="229" spans="1:11" x14ac:dyDescent="0.3">
      <c r="A229" s="37">
        <v>1</v>
      </c>
      <c r="B229" t="s">
        <v>306</v>
      </c>
      <c r="C229" t="s">
        <v>500</v>
      </c>
      <c r="D229" t="s">
        <v>502</v>
      </c>
      <c r="E229">
        <v>24</v>
      </c>
      <c r="F229">
        <v>37.46</v>
      </c>
      <c r="G229">
        <v>38.847333333333331</v>
      </c>
      <c r="H229">
        <v>62.79</v>
      </c>
      <c r="I229">
        <v>0</v>
      </c>
      <c r="J229">
        <v>96.085999999999927</v>
      </c>
      <c r="K229">
        <v>0.1068762235273179</v>
      </c>
    </row>
    <row r="230" spans="1:11" x14ac:dyDescent="0.3">
      <c r="A230" s="37">
        <v>1</v>
      </c>
      <c r="B230" t="s">
        <v>307</v>
      </c>
      <c r="C230" t="s">
        <v>500</v>
      </c>
      <c r="D230" t="s">
        <v>502</v>
      </c>
      <c r="E230">
        <v>24</v>
      </c>
      <c r="F230">
        <v>37.46</v>
      </c>
      <c r="G230">
        <v>38.912666666666667</v>
      </c>
      <c r="H230">
        <v>62.79</v>
      </c>
      <c r="I230">
        <v>0</v>
      </c>
      <c r="J230">
        <v>97.653999999999968</v>
      </c>
      <c r="K230">
        <v>0.10862030610428899</v>
      </c>
    </row>
    <row r="231" spans="1:11" x14ac:dyDescent="0.3">
      <c r="A231" s="37">
        <v>1</v>
      </c>
      <c r="B231" t="s">
        <v>308</v>
      </c>
      <c r="C231" t="s">
        <v>500</v>
      </c>
      <c r="D231" t="s">
        <v>502</v>
      </c>
      <c r="E231">
        <v>24</v>
      </c>
      <c r="F231">
        <v>37.46</v>
      </c>
      <c r="G231">
        <v>38.977999999999987</v>
      </c>
      <c r="H231">
        <v>62.79</v>
      </c>
      <c r="I231">
        <v>0</v>
      </c>
      <c r="J231">
        <v>99.221999999999838</v>
      </c>
      <c r="K231">
        <v>0.11036438868125981</v>
      </c>
    </row>
    <row r="232" spans="1:11" x14ac:dyDescent="0.3">
      <c r="A232" s="37">
        <v>1</v>
      </c>
      <c r="B232" t="s">
        <v>309</v>
      </c>
      <c r="C232" t="s">
        <v>500</v>
      </c>
      <c r="D232" t="s">
        <v>502</v>
      </c>
      <c r="E232">
        <v>24</v>
      </c>
      <c r="F232">
        <v>37.46</v>
      </c>
      <c r="G232">
        <v>39.043333333333329</v>
      </c>
      <c r="H232">
        <v>62.79</v>
      </c>
      <c r="I232">
        <v>0</v>
      </c>
      <c r="J232">
        <v>100.78999999999991</v>
      </c>
      <c r="K232">
        <v>0.1121084712582309</v>
      </c>
    </row>
    <row r="233" spans="1:11" x14ac:dyDescent="0.3">
      <c r="A233" s="37">
        <v>1</v>
      </c>
      <c r="B233" t="s">
        <v>310</v>
      </c>
      <c r="C233" t="s">
        <v>500</v>
      </c>
      <c r="D233" t="s">
        <v>502</v>
      </c>
      <c r="E233">
        <v>24</v>
      </c>
      <c r="F233">
        <v>37.46</v>
      </c>
      <c r="G233">
        <v>39.108666666666657</v>
      </c>
      <c r="H233">
        <v>62.79</v>
      </c>
      <c r="I233">
        <v>0</v>
      </c>
      <c r="J233">
        <v>102.3579999999999</v>
      </c>
      <c r="K233">
        <v>0.1138525538352019</v>
      </c>
    </row>
    <row r="234" spans="1:11" x14ac:dyDescent="0.3">
      <c r="A234" s="37">
        <v>1</v>
      </c>
      <c r="B234" t="s">
        <v>311</v>
      </c>
      <c r="C234" t="s">
        <v>500</v>
      </c>
      <c r="D234" t="s">
        <v>502</v>
      </c>
      <c r="E234">
        <v>24</v>
      </c>
      <c r="F234">
        <v>37.46</v>
      </c>
      <c r="G234">
        <v>39.173999999999999</v>
      </c>
      <c r="H234">
        <v>62.79</v>
      </c>
      <c r="I234">
        <v>0</v>
      </c>
      <c r="J234">
        <v>103.926</v>
      </c>
      <c r="K234">
        <v>0.1155966364121729</v>
      </c>
    </row>
    <row r="235" spans="1:11" x14ac:dyDescent="0.3">
      <c r="A235" s="37">
        <v>1</v>
      </c>
      <c r="B235" t="s">
        <v>312</v>
      </c>
      <c r="C235" t="s">
        <v>500</v>
      </c>
      <c r="D235" t="s">
        <v>502</v>
      </c>
      <c r="E235">
        <v>24</v>
      </c>
      <c r="F235">
        <v>37.46</v>
      </c>
      <c r="G235">
        <v>39.239333333333327</v>
      </c>
      <c r="H235">
        <v>62.79</v>
      </c>
      <c r="I235">
        <v>0</v>
      </c>
      <c r="J235">
        <v>105.494</v>
      </c>
      <c r="K235">
        <v>0.117340718989144</v>
      </c>
    </row>
    <row r="236" spans="1:11" x14ac:dyDescent="0.3">
      <c r="A236" s="37">
        <v>1</v>
      </c>
      <c r="B236" t="s">
        <v>313</v>
      </c>
      <c r="C236" t="s">
        <v>500</v>
      </c>
      <c r="D236" t="s">
        <v>502</v>
      </c>
      <c r="E236">
        <v>24</v>
      </c>
      <c r="F236">
        <v>37.46</v>
      </c>
      <c r="G236">
        <v>39.304666666666662</v>
      </c>
      <c r="H236">
        <v>62.79</v>
      </c>
      <c r="I236">
        <v>0</v>
      </c>
      <c r="J236">
        <v>107.0619999999999</v>
      </c>
      <c r="K236">
        <v>0.1190848015661148</v>
      </c>
    </row>
    <row r="237" spans="1:11" x14ac:dyDescent="0.3">
      <c r="A237" s="37">
        <v>1</v>
      </c>
      <c r="B237" t="s">
        <v>314</v>
      </c>
      <c r="C237" t="s">
        <v>500</v>
      </c>
      <c r="D237" t="s">
        <v>502</v>
      </c>
      <c r="E237">
        <v>24</v>
      </c>
      <c r="F237">
        <v>37.46</v>
      </c>
      <c r="G237">
        <v>39.369999999999997</v>
      </c>
      <c r="H237">
        <v>62.79</v>
      </c>
      <c r="I237">
        <v>0</v>
      </c>
      <c r="J237">
        <v>108.6299999999999</v>
      </c>
      <c r="K237">
        <v>0.1208288841430859</v>
      </c>
    </row>
    <row r="238" spans="1:11" x14ac:dyDescent="0.3">
      <c r="A238" s="37">
        <v>1</v>
      </c>
      <c r="B238" t="s">
        <v>315</v>
      </c>
      <c r="C238" t="s">
        <v>500</v>
      </c>
      <c r="D238" t="s">
        <v>502</v>
      </c>
      <c r="E238">
        <v>24</v>
      </c>
      <c r="F238">
        <v>37.46</v>
      </c>
      <c r="G238">
        <v>39.261612903225803</v>
      </c>
      <c r="H238">
        <v>62.79</v>
      </c>
      <c r="I238">
        <v>0</v>
      </c>
      <c r="J238">
        <v>106.0287096774192</v>
      </c>
      <c r="K238">
        <v>0.1179354752596317</v>
      </c>
    </row>
    <row r="239" spans="1:11" x14ac:dyDescent="0.3">
      <c r="A239" s="37">
        <v>1</v>
      </c>
      <c r="B239" t="s">
        <v>316</v>
      </c>
      <c r="C239" t="s">
        <v>500</v>
      </c>
      <c r="D239" t="s">
        <v>502</v>
      </c>
      <c r="E239">
        <v>24</v>
      </c>
      <c r="F239">
        <v>37.46</v>
      </c>
      <c r="G239">
        <v>39.153225806451609</v>
      </c>
      <c r="H239">
        <v>62.79</v>
      </c>
      <c r="I239">
        <v>0</v>
      </c>
      <c r="J239">
        <v>103.42741935483861</v>
      </c>
      <c r="K239">
        <v>0.1150420663761775</v>
      </c>
    </row>
    <row r="240" spans="1:11" x14ac:dyDescent="0.3">
      <c r="A240" s="37">
        <v>1</v>
      </c>
      <c r="B240" t="s">
        <v>317</v>
      </c>
      <c r="C240" t="s">
        <v>500</v>
      </c>
      <c r="D240" t="s">
        <v>502</v>
      </c>
      <c r="E240">
        <v>24</v>
      </c>
      <c r="F240">
        <v>37.46</v>
      </c>
      <c r="G240">
        <v>39.044838709677407</v>
      </c>
      <c r="H240">
        <v>62.79</v>
      </c>
      <c r="I240">
        <v>0</v>
      </c>
      <c r="J240">
        <v>100.8261290322579</v>
      </c>
      <c r="K240">
        <v>0.11214865749272319</v>
      </c>
    </row>
    <row r="241" spans="1:11" x14ac:dyDescent="0.3">
      <c r="A241" s="37">
        <v>1</v>
      </c>
      <c r="B241" t="s">
        <v>318</v>
      </c>
      <c r="C241" t="s">
        <v>500</v>
      </c>
      <c r="D241" t="s">
        <v>502</v>
      </c>
      <c r="E241">
        <v>24</v>
      </c>
      <c r="F241">
        <v>37.46</v>
      </c>
      <c r="G241">
        <v>38.936451612903227</v>
      </c>
      <c r="H241">
        <v>62.79</v>
      </c>
      <c r="I241">
        <v>0</v>
      </c>
      <c r="J241">
        <v>98.224838709677414</v>
      </c>
      <c r="K241">
        <v>0.1092552486092692</v>
      </c>
    </row>
    <row r="242" spans="1:11" x14ac:dyDescent="0.3">
      <c r="A242" s="37">
        <v>1</v>
      </c>
      <c r="B242" t="s">
        <v>319</v>
      </c>
      <c r="C242" t="s">
        <v>500</v>
      </c>
      <c r="D242" t="s">
        <v>502</v>
      </c>
      <c r="E242">
        <v>24</v>
      </c>
      <c r="F242">
        <v>37.46</v>
      </c>
      <c r="G242">
        <v>38.828064516129032</v>
      </c>
      <c r="H242">
        <v>62.79</v>
      </c>
      <c r="I242">
        <v>0</v>
      </c>
      <c r="J242">
        <v>95.623548387096747</v>
      </c>
      <c r="K242">
        <v>0.10636183972581501</v>
      </c>
    </row>
    <row r="243" spans="1:11" x14ac:dyDescent="0.3">
      <c r="A243" s="37">
        <v>1</v>
      </c>
      <c r="B243" t="s">
        <v>320</v>
      </c>
      <c r="C243" t="s">
        <v>500</v>
      </c>
      <c r="D243" t="s">
        <v>502</v>
      </c>
      <c r="E243">
        <v>24</v>
      </c>
      <c r="F243">
        <v>37.46</v>
      </c>
      <c r="G243">
        <v>38.719677419354838</v>
      </c>
      <c r="H243">
        <v>62.79</v>
      </c>
      <c r="I243">
        <v>0</v>
      </c>
      <c r="J243">
        <v>93.02225806451608</v>
      </c>
      <c r="K243">
        <v>0.10346843084236081</v>
      </c>
    </row>
    <row r="244" spans="1:11" x14ac:dyDescent="0.3">
      <c r="A244" s="37">
        <v>1</v>
      </c>
      <c r="B244" t="s">
        <v>321</v>
      </c>
      <c r="C244" t="s">
        <v>500</v>
      </c>
      <c r="D244" t="s">
        <v>502</v>
      </c>
      <c r="E244">
        <v>24</v>
      </c>
      <c r="F244">
        <v>37.46</v>
      </c>
      <c r="G244">
        <v>38.611290322580643</v>
      </c>
      <c r="H244">
        <v>62.79</v>
      </c>
      <c r="I244">
        <v>0</v>
      </c>
      <c r="J244">
        <v>90.420967741935414</v>
      </c>
      <c r="K244">
        <v>0.10057502195890659</v>
      </c>
    </row>
    <row r="245" spans="1:11" x14ac:dyDescent="0.3">
      <c r="A245" s="37">
        <v>1</v>
      </c>
      <c r="B245" t="s">
        <v>322</v>
      </c>
      <c r="C245" t="s">
        <v>500</v>
      </c>
      <c r="D245" t="s">
        <v>502</v>
      </c>
      <c r="E245">
        <v>24</v>
      </c>
      <c r="F245">
        <v>37.46</v>
      </c>
      <c r="G245">
        <v>38.502903225806449</v>
      </c>
      <c r="H245">
        <v>62.79</v>
      </c>
      <c r="I245">
        <v>0</v>
      </c>
      <c r="J245">
        <v>87.819677419354747</v>
      </c>
      <c r="K245">
        <v>9.7681613075452423E-2</v>
      </c>
    </row>
    <row r="246" spans="1:11" x14ac:dyDescent="0.3">
      <c r="A246" s="37">
        <v>1</v>
      </c>
      <c r="B246" t="s">
        <v>323</v>
      </c>
      <c r="C246" t="s">
        <v>500</v>
      </c>
      <c r="D246" t="s">
        <v>502</v>
      </c>
      <c r="E246">
        <v>24</v>
      </c>
      <c r="F246">
        <v>37.46</v>
      </c>
      <c r="G246">
        <v>38.394516129032247</v>
      </c>
      <c r="H246">
        <v>62.79</v>
      </c>
      <c r="I246">
        <v>0</v>
      </c>
      <c r="J246">
        <v>85.21838709677408</v>
      </c>
      <c r="K246">
        <v>9.4788204191998224E-2</v>
      </c>
    </row>
    <row r="247" spans="1:11" x14ac:dyDescent="0.3">
      <c r="A247" s="37">
        <v>1</v>
      </c>
      <c r="B247" t="s">
        <v>324</v>
      </c>
      <c r="C247" t="s">
        <v>500</v>
      </c>
      <c r="D247" t="s">
        <v>502</v>
      </c>
      <c r="E247">
        <v>24</v>
      </c>
      <c r="F247">
        <v>37.46</v>
      </c>
      <c r="G247">
        <v>38.28612903225806</v>
      </c>
      <c r="H247">
        <v>62.79</v>
      </c>
      <c r="I247">
        <v>0</v>
      </c>
      <c r="J247">
        <v>82.617096774193413</v>
      </c>
      <c r="K247">
        <v>9.1894795308544025E-2</v>
      </c>
    </row>
    <row r="248" spans="1:11" x14ac:dyDescent="0.3">
      <c r="A248" s="37">
        <v>1</v>
      </c>
      <c r="B248" t="s">
        <v>325</v>
      </c>
      <c r="C248" t="s">
        <v>500</v>
      </c>
      <c r="D248" t="s">
        <v>502</v>
      </c>
      <c r="E248">
        <v>24</v>
      </c>
      <c r="F248">
        <v>37.46</v>
      </c>
      <c r="G248">
        <v>38.177741935483873</v>
      </c>
      <c r="H248">
        <v>62.79</v>
      </c>
      <c r="I248">
        <v>0</v>
      </c>
      <c r="J248">
        <v>80.015806451612747</v>
      </c>
      <c r="K248">
        <v>8.9001386425089812E-2</v>
      </c>
    </row>
    <row r="249" spans="1:11" x14ac:dyDescent="0.3">
      <c r="A249" s="37">
        <v>1</v>
      </c>
      <c r="B249" t="s">
        <v>326</v>
      </c>
      <c r="C249" t="s">
        <v>500</v>
      </c>
      <c r="D249" t="s">
        <v>502</v>
      </c>
      <c r="E249">
        <v>24</v>
      </c>
      <c r="F249">
        <v>37.46</v>
      </c>
      <c r="G249">
        <v>38.069354838709678</v>
      </c>
      <c r="H249">
        <v>62.79</v>
      </c>
      <c r="I249">
        <v>0</v>
      </c>
      <c r="J249">
        <v>77.414516129032251</v>
      </c>
      <c r="K249">
        <v>8.6107977541635808E-2</v>
      </c>
    </row>
    <row r="250" spans="1:11" x14ac:dyDescent="0.3">
      <c r="A250" s="37">
        <v>1</v>
      </c>
      <c r="B250" t="s">
        <v>327</v>
      </c>
      <c r="C250" t="s">
        <v>500</v>
      </c>
      <c r="D250" t="s">
        <v>502</v>
      </c>
      <c r="E250">
        <v>24</v>
      </c>
      <c r="F250">
        <v>37.46</v>
      </c>
      <c r="G250">
        <v>37.960967741935477</v>
      </c>
      <c r="H250">
        <v>62.79</v>
      </c>
      <c r="I250">
        <v>0</v>
      </c>
      <c r="J250">
        <v>74.813225806451584</v>
      </c>
      <c r="K250">
        <v>8.3214568658181595E-2</v>
      </c>
    </row>
    <row r="251" spans="1:11" x14ac:dyDescent="0.3">
      <c r="A251" s="37">
        <v>1</v>
      </c>
      <c r="B251" t="s">
        <v>328</v>
      </c>
      <c r="C251" t="s">
        <v>500</v>
      </c>
      <c r="D251" t="s">
        <v>502</v>
      </c>
      <c r="E251">
        <v>24</v>
      </c>
      <c r="F251">
        <v>37.46</v>
      </c>
      <c r="G251">
        <v>37.852580645161289</v>
      </c>
      <c r="H251">
        <v>62.79</v>
      </c>
      <c r="I251">
        <v>0</v>
      </c>
      <c r="J251">
        <v>72.211935483870917</v>
      </c>
      <c r="K251">
        <v>8.0321159774727396E-2</v>
      </c>
    </row>
    <row r="252" spans="1:11" x14ac:dyDescent="0.3">
      <c r="A252" s="37">
        <v>1</v>
      </c>
      <c r="B252" t="s">
        <v>329</v>
      </c>
      <c r="C252" t="s">
        <v>500</v>
      </c>
      <c r="D252" t="s">
        <v>502</v>
      </c>
      <c r="E252">
        <v>24</v>
      </c>
      <c r="F252">
        <v>37.46</v>
      </c>
      <c r="G252">
        <v>37.744193548387088</v>
      </c>
      <c r="H252">
        <v>62.79</v>
      </c>
      <c r="I252">
        <v>0</v>
      </c>
      <c r="J252">
        <v>69.61064516129025</v>
      </c>
      <c r="K252">
        <v>7.7427750891273198E-2</v>
      </c>
    </row>
    <row r="253" spans="1:11" x14ac:dyDescent="0.3">
      <c r="A253" s="37">
        <v>1</v>
      </c>
      <c r="B253" t="s">
        <v>330</v>
      </c>
      <c r="C253" t="s">
        <v>500</v>
      </c>
      <c r="D253" t="s">
        <v>502</v>
      </c>
      <c r="E253">
        <v>24</v>
      </c>
      <c r="F253">
        <v>37.46</v>
      </c>
      <c r="G253">
        <v>37.635806451612901</v>
      </c>
      <c r="H253">
        <v>62.79</v>
      </c>
      <c r="I253">
        <v>0</v>
      </c>
      <c r="J253">
        <v>67.009354838709584</v>
      </c>
      <c r="K253">
        <v>7.4534342007818985E-2</v>
      </c>
    </row>
    <row r="254" spans="1:11" x14ac:dyDescent="0.3">
      <c r="A254" s="37">
        <v>1</v>
      </c>
      <c r="B254" t="s">
        <v>331</v>
      </c>
      <c r="C254" t="s">
        <v>500</v>
      </c>
      <c r="D254" t="s">
        <v>502</v>
      </c>
      <c r="E254">
        <v>24</v>
      </c>
      <c r="F254">
        <v>37.46</v>
      </c>
      <c r="G254">
        <v>37.527419354838713</v>
      </c>
      <c r="H254">
        <v>62.79</v>
      </c>
      <c r="I254">
        <v>0</v>
      </c>
      <c r="J254">
        <v>64.408064516128917</v>
      </c>
      <c r="K254">
        <v>7.1640933124364786E-2</v>
      </c>
    </row>
    <row r="255" spans="1:11" x14ac:dyDescent="0.3">
      <c r="A255" s="37">
        <v>1</v>
      </c>
      <c r="B255" t="s">
        <v>332</v>
      </c>
      <c r="C255" t="s">
        <v>500</v>
      </c>
      <c r="D255" t="s">
        <v>502</v>
      </c>
      <c r="E255">
        <v>24</v>
      </c>
      <c r="F255">
        <v>37.46</v>
      </c>
      <c r="G255">
        <v>37.419032258064512</v>
      </c>
      <c r="H255">
        <v>62.79</v>
      </c>
      <c r="I255">
        <v>0</v>
      </c>
      <c r="J255">
        <v>61.806774193548257</v>
      </c>
      <c r="K255">
        <v>6.8747524240910587E-2</v>
      </c>
    </row>
    <row r="256" spans="1:11" x14ac:dyDescent="0.3">
      <c r="A256" s="37">
        <v>1</v>
      </c>
      <c r="B256" t="s">
        <v>333</v>
      </c>
      <c r="C256" t="s">
        <v>500</v>
      </c>
      <c r="D256" t="s">
        <v>502</v>
      </c>
      <c r="E256">
        <v>24</v>
      </c>
      <c r="F256">
        <v>37.46</v>
      </c>
      <c r="G256">
        <v>37.310645161290317</v>
      </c>
      <c r="H256">
        <v>62.79</v>
      </c>
      <c r="I256">
        <v>0</v>
      </c>
      <c r="J256">
        <v>59.205483870967591</v>
      </c>
      <c r="K256">
        <v>6.5854115357456389E-2</v>
      </c>
    </row>
    <row r="257" spans="1:11" x14ac:dyDescent="0.3">
      <c r="A257" s="37">
        <v>1</v>
      </c>
      <c r="B257" t="s">
        <v>334</v>
      </c>
      <c r="C257" t="s">
        <v>500</v>
      </c>
      <c r="D257" t="s">
        <v>502</v>
      </c>
      <c r="E257">
        <v>24</v>
      </c>
      <c r="F257">
        <v>37.46</v>
      </c>
      <c r="G257">
        <v>37.20225806451613</v>
      </c>
      <c r="H257">
        <v>62.79</v>
      </c>
      <c r="I257">
        <v>0</v>
      </c>
      <c r="J257">
        <v>56.604193548387087</v>
      </c>
      <c r="K257">
        <v>6.296070647400237E-2</v>
      </c>
    </row>
    <row r="258" spans="1:11" x14ac:dyDescent="0.3">
      <c r="A258" s="37">
        <v>1</v>
      </c>
      <c r="B258" t="s">
        <v>335</v>
      </c>
      <c r="C258" t="s">
        <v>500</v>
      </c>
      <c r="D258" t="s">
        <v>502</v>
      </c>
      <c r="E258">
        <v>24</v>
      </c>
      <c r="F258">
        <v>37.46</v>
      </c>
      <c r="G258">
        <v>37.093870967741942</v>
      </c>
      <c r="H258">
        <v>62.79</v>
      </c>
      <c r="I258">
        <v>0</v>
      </c>
      <c r="J258">
        <v>54.002903225806428</v>
      </c>
      <c r="K258">
        <v>6.0067297590548172E-2</v>
      </c>
    </row>
    <row r="259" spans="1:11" x14ac:dyDescent="0.3">
      <c r="A259" s="37">
        <v>1</v>
      </c>
      <c r="B259" t="s">
        <v>336</v>
      </c>
      <c r="C259" t="s">
        <v>500</v>
      </c>
      <c r="D259" t="s">
        <v>502</v>
      </c>
      <c r="E259">
        <v>24</v>
      </c>
      <c r="F259">
        <v>37.46</v>
      </c>
      <c r="G259">
        <v>36.985483870967741</v>
      </c>
      <c r="H259">
        <v>62.79</v>
      </c>
      <c r="I259">
        <v>0</v>
      </c>
      <c r="J259">
        <v>51.401612903225761</v>
      </c>
      <c r="K259">
        <v>5.7173888707093973E-2</v>
      </c>
    </row>
    <row r="260" spans="1:11" x14ac:dyDescent="0.3">
      <c r="A260" s="37">
        <v>1</v>
      </c>
      <c r="B260" t="s">
        <v>337</v>
      </c>
      <c r="C260" t="s">
        <v>500</v>
      </c>
      <c r="D260" t="s">
        <v>502</v>
      </c>
      <c r="E260">
        <v>24</v>
      </c>
      <c r="F260">
        <v>37.46</v>
      </c>
      <c r="G260">
        <v>36.877096774193546</v>
      </c>
      <c r="H260">
        <v>62.79</v>
      </c>
      <c r="I260">
        <v>0</v>
      </c>
      <c r="J260">
        <v>48.800322580645087</v>
      </c>
      <c r="K260">
        <v>5.4280479823639767E-2</v>
      </c>
    </row>
    <row r="261" spans="1:11" x14ac:dyDescent="0.3">
      <c r="A261" s="37">
        <v>1</v>
      </c>
      <c r="B261" t="s">
        <v>338</v>
      </c>
      <c r="C261" t="s">
        <v>500</v>
      </c>
      <c r="D261" t="s">
        <v>502</v>
      </c>
      <c r="E261">
        <v>24</v>
      </c>
      <c r="F261">
        <v>37.46</v>
      </c>
      <c r="G261">
        <v>36.768709677419352</v>
      </c>
      <c r="H261">
        <v>62.79</v>
      </c>
      <c r="I261">
        <v>0</v>
      </c>
      <c r="J261">
        <v>46.199032258064427</v>
      </c>
      <c r="K261">
        <v>5.1387070940185561E-2</v>
      </c>
    </row>
    <row r="262" spans="1:11" x14ac:dyDescent="0.3">
      <c r="A262" s="37">
        <v>1</v>
      </c>
      <c r="B262" t="s">
        <v>339</v>
      </c>
      <c r="C262" t="s">
        <v>500</v>
      </c>
      <c r="D262" t="s">
        <v>502</v>
      </c>
      <c r="E262">
        <v>24</v>
      </c>
      <c r="F262">
        <v>37.46</v>
      </c>
      <c r="G262">
        <v>36.660322580645158</v>
      </c>
      <c r="H262">
        <v>62.79</v>
      </c>
      <c r="I262">
        <v>0</v>
      </c>
      <c r="J262">
        <v>43.597741935483761</v>
      </c>
      <c r="K262">
        <v>4.8493662056731363E-2</v>
      </c>
    </row>
    <row r="263" spans="1:11" x14ac:dyDescent="0.3">
      <c r="A263" s="37">
        <v>1</v>
      </c>
      <c r="B263" t="s">
        <v>340</v>
      </c>
      <c r="C263" t="s">
        <v>500</v>
      </c>
      <c r="D263" t="s">
        <v>502</v>
      </c>
      <c r="E263">
        <v>24</v>
      </c>
      <c r="F263">
        <v>37.46</v>
      </c>
      <c r="G263">
        <v>36.551935483870963</v>
      </c>
      <c r="H263">
        <v>62.79</v>
      </c>
      <c r="I263">
        <v>0</v>
      </c>
      <c r="J263">
        <v>40.996451612903087</v>
      </c>
      <c r="K263">
        <v>4.5600253173277157E-2</v>
      </c>
    </row>
    <row r="264" spans="1:11" x14ac:dyDescent="0.3">
      <c r="A264" s="37">
        <v>1</v>
      </c>
      <c r="B264" t="s">
        <v>341</v>
      </c>
      <c r="C264" t="s">
        <v>500</v>
      </c>
      <c r="D264" t="s">
        <v>502</v>
      </c>
      <c r="E264">
        <v>24</v>
      </c>
      <c r="F264">
        <v>37.46</v>
      </c>
      <c r="G264">
        <v>36.443548387096769</v>
      </c>
      <c r="H264">
        <v>62.79</v>
      </c>
      <c r="I264">
        <v>0</v>
      </c>
      <c r="J264">
        <v>38.395161290322427</v>
      </c>
      <c r="K264">
        <v>4.2706844289822951E-2</v>
      </c>
    </row>
    <row r="265" spans="1:11" x14ac:dyDescent="0.3">
      <c r="A265" s="37">
        <v>1</v>
      </c>
      <c r="B265" t="s">
        <v>342</v>
      </c>
      <c r="C265" t="s">
        <v>500</v>
      </c>
      <c r="D265" t="s">
        <v>502</v>
      </c>
      <c r="E265">
        <v>24</v>
      </c>
      <c r="F265">
        <v>37.46</v>
      </c>
      <c r="G265">
        <v>36.335161290322581</v>
      </c>
      <c r="H265">
        <v>62.79</v>
      </c>
      <c r="I265">
        <v>0</v>
      </c>
      <c r="J265">
        <v>35.793870967741931</v>
      </c>
      <c r="K265">
        <v>3.981343540636894E-2</v>
      </c>
    </row>
    <row r="266" spans="1:11" x14ac:dyDescent="0.3">
      <c r="A266" s="37">
        <v>1</v>
      </c>
      <c r="B266" t="s">
        <v>343</v>
      </c>
      <c r="C266" t="s">
        <v>500</v>
      </c>
      <c r="D266" t="s">
        <v>502</v>
      </c>
      <c r="E266">
        <v>24</v>
      </c>
      <c r="F266">
        <v>37.46</v>
      </c>
      <c r="G266">
        <v>36.226774193548387</v>
      </c>
      <c r="H266">
        <v>62.79</v>
      </c>
      <c r="I266">
        <v>0</v>
      </c>
      <c r="J266">
        <v>33.192580645161257</v>
      </c>
      <c r="K266">
        <v>3.6920026522914741E-2</v>
      </c>
    </row>
    <row r="267" spans="1:11" x14ac:dyDescent="0.3">
      <c r="A267" s="37">
        <v>1</v>
      </c>
      <c r="B267" t="s">
        <v>344</v>
      </c>
      <c r="C267" t="s">
        <v>500</v>
      </c>
      <c r="D267" t="s">
        <v>502</v>
      </c>
      <c r="E267">
        <v>24</v>
      </c>
      <c r="F267">
        <v>37.46</v>
      </c>
      <c r="G267">
        <v>36.118387096774192</v>
      </c>
      <c r="H267">
        <v>62.79</v>
      </c>
      <c r="I267">
        <v>0</v>
      </c>
      <c r="J267">
        <v>30.591290322580601</v>
      </c>
      <c r="K267">
        <v>3.4026617639460542E-2</v>
      </c>
    </row>
    <row r="268" spans="1:11" x14ac:dyDescent="0.3">
      <c r="A268" s="37">
        <v>1</v>
      </c>
      <c r="B268" t="s">
        <v>345</v>
      </c>
      <c r="C268" t="s">
        <v>500</v>
      </c>
      <c r="D268" t="s">
        <v>502</v>
      </c>
      <c r="E268">
        <v>24</v>
      </c>
      <c r="F268">
        <v>37.46</v>
      </c>
      <c r="G268">
        <v>36.01</v>
      </c>
      <c r="H268">
        <v>62.79</v>
      </c>
      <c r="I268">
        <v>0</v>
      </c>
      <c r="J268">
        <v>27.989999999999931</v>
      </c>
      <c r="K268">
        <v>3.1133208756006329E-2</v>
      </c>
    </row>
    <row r="269" spans="1:11" x14ac:dyDescent="0.3">
      <c r="A269" s="37">
        <v>1</v>
      </c>
      <c r="B269" t="s">
        <v>346</v>
      </c>
      <c r="C269" t="s">
        <v>500</v>
      </c>
      <c r="D269" t="s">
        <v>502</v>
      </c>
      <c r="E269">
        <v>24</v>
      </c>
      <c r="F269">
        <v>37.46</v>
      </c>
      <c r="G269">
        <v>36.006774193548388</v>
      </c>
      <c r="H269">
        <v>62.79</v>
      </c>
      <c r="I269">
        <v>0</v>
      </c>
      <c r="J269">
        <v>27.912580645161292</v>
      </c>
      <c r="K269">
        <v>3.1047095396379801E-2</v>
      </c>
    </row>
    <row r="270" spans="1:11" x14ac:dyDescent="0.3">
      <c r="A270" s="37">
        <v>1</v>
      </c>
      <c r="B270" t="s">
        <v>347</v>
      </c>
      <c r="C270" t="s">
        <v>500</v>
      </c>
      <c r="D270" t="s">
        <v>502</v>
      </c>
      <c r="E270">
        <v>24</v>
      </c>
      <c r="F270">
        <v>37.46</v>
      </c>
      <c r="G270">
        <v>36.003548387096771</v>
      </c>
      <c r="H270">
        <v>62.79</v>
      </c>
      <c r="I270">
        <v>0</v>
      </c>
      <c r="J270">
        <v>27.835161290322478</v>
      </c>
      <c r="K270">
        <v>3.0960982036753071E-2</v>
      </c>
    </row>
    <row r="271" spans="1:11" x14ac:dyDescent="0.3">
      <c r="A271" s="37">
        <v>1</v>
      </c>
      <c r="B271" t="s">
        <v>348</v>
      </c>
      <c r="C271" t="s">
        <v>500</v>
      </c>
      <c r="D271" t="s">
        <v>502</v>
      </c>
      <c r="E271">
        <v>24</v>
      </c>
      <c r="F271">
        <v>37.46</v>
      </c>
      <c r="G271">
        <v>36.000322580645161</v>
      </c>
      <c r="H271">
        <v>62.79</v>
      </c>
      <c r="I271">
        <v>0</v>
      </c>
      <c r="J271">
        <v>27.757741935483839</v>
      </c>
      <c r="K271">
        <v>3.0874868677126539E-2</v>
      </c>
    </row>
    <row r="272" spans="1:11" x14ac:dyDescent="0.3">
      <c r="A272" s="37">
        <v>1</v>
      </c>
      <c r="B272" t="s">
        <v>349</v>
      </c>
      <c r="C272" t="s">
        <v>500</v>
      </c>
      <c r="D272" t="s">
        <v>502</v>
      </c>
      <c r="E272">
        <v>24</v>
      </c>
      <c r="F272">
        <v>37.46</v>
      </c>
      <c r="G272">
        <v>35.997096774193537</v>
      </c>
      <c r="H272">
        <v>62.79</v>
      </c>
      <c r="I272">
        <v>0</v>
      </c>
      <c r="J272">
        <v>27.680322580645029</v>
      </c>
      <c r="K272">
        <v>3.0788755317499819E-2</v>
      </c>
    </row>
    <row r="273" spans="1:11" x14ac:dyDescent="0.3">
      <c r="A273" s="37">
        <v>1</v>
      </c>
      <c r="B273" t="s">
        <v>350</v>
      </c>
      <c r="C273" t="s">
        <v>500</v>
      </c>
      <c r="D273" t="s">
        <v>502</v>
      </c>
      <c r="E273">
        <v>24</v>
      </c>
      <c r="F273">
        <v>37.46</v>
      </c>
      <c r="G273">
        <v>35.993870967741927</v>
      </c>
      <c r="H273">
        <v>62.79</v>
      </c>
      <c r="I273">
        <v>0</v>
      </c>
      <c r="J273">
        <v>27.60290322580639</v>
      </c>
      <c r="K273">
        <v>3.070264195787328E-2</v>
      </c>
    </row>
    <row r="274" spans="1:11" x14ac:dyDescent="0.3">
      <c r="A274" s="37">
        <v>1</v>
      </c>
      <c r="B274" t="s">
        <v>351</v>
      </c>
      <c r="C274" t="s">
        <v>500</v>
      </c>
      <c r="D274" t="s">
        <v>502</v>
      </c>
      <c r="E274">
        <v>24</v>
      </c>
      <c r="F274">
        <v>37.46</v>
      </c>
      <c r="G274">
        <v>35.990645161290317</v>
      </c>
      <c r="H274">
        <v>62.79</v>
      </c>
      <c r="I274">
        <v>0</v>
      </c>
      <c r="J274">
        <v>27.52548387096758</v>
      </c>
      <c r="K274">
        <v>3.061652859824656E-2</v>
      </c>
    </row>
    <row r="275" spans="1:11" x14ac:dyDescent="0.3">
      <c r="A275" s="37">
        <v>1</v>
      </c>
      <c r="B275" t="s">
        <v>352</v>
      </c>
      <c r="C275" t="s">
        <v>500</v>
      </c>
      <c r="D275" t="s">
        <v>502</v>
      </c>
      <c r="E275">
        <v>24</v>
      </c>
      <c r="F275">
        <v>37.46</v>
      </c>
      <c r="G275">
        <v>35.987419354838707</v>
      </c>
      <c r="H275">
        <v>62.79</v>
      </c>
      <c r="I275">
        <v>0</v>
      </c>
      <c r="J275">
        <v>27.448064516128941</v>
      </c>
      <c r="K275">
        <v>3.0530415238620021E-2</v>
      </c>
    </row>
    <row r="276" spans="1:11" x14ac:dyDescent="0.3">
      <c r="A276" s="37">
        <v>1</v>
      </c>
      <c r="B276" t="s">
        <v>353</v>
      </c>
      <c r="C276" t="s">
        <v>500</v>
      </c>
      <c r="D276" t="s">
        <v>502</v>
      </c>
      <c r="E276">
        <v>26</v>
      </c>
      <c r="F276">
        <v>37.47</v>
      </c>
      <c r="G276">
        <v>35.984193548387097</v>
      </c>
      <c r="H276">
        <v>62.79</v>
      </c>
      <c r="I276">
        <v>0</v>
      </c>
      <c r="J276">
        <v>24.159032258064549</v>
      </c>
      <c r="K276">
        <v>2.4798333290288181E-2</v>
      </c>
    </row>
    <row r="277" spans="1:11" x14ac:dyDescent="0.3">
      <c r="A277" s="37">
        <v>1</v>
      </c>
      <c r="B277" t="s">
        <v>354</v>
      </c>
      <c r="C277" t="s">
        <v>500</v>
      </c>
      <c r="D277" t="s">
        <v>502</v>
      </c>
      <c r="E277">
        <v>26</v>
      </c>
      <c r="F277">
        <v>37.47</v>
      </c>
      <c r="G277">
        <v>35.98096774193548</v>
      </c>
      <c r="H277">
        <v>62.79</v>
      </c>
      <c r="I277">
        <v>0</v>
      </c>
      <c r="J277">
        <v>24.075161290322509</v>
      </c>
      <c r="K277">
        <v>2.4712242912609581E-2</v>
      </c>
    </row>
    <row r="278" spans="1:11" x14ac:dyDescent="0.3">
      <c r="A278" s="37">
        <v>1</v>
      </c>
      <c r="B278" t="s">
        <v>355</v>
      </c>
      <c r="C278" t="s">
        <v>500</v>
      </c>
      <c r="D278" t="s">
        <v>502</v>
      </c>
      <c r="E278">
        <v>26</v>
      </c>
      <c r="F278">
        <v>37.47</v>
      </c>
      <c r="G278">
        <v>35.97774193548387</v>
      </c>
      <c r="H278">
        <v>62.79</v>
      </c>
      <c r="I278">
        <v>0</v>
      </c>
      <c r="J278">
        <v>23.99129032258065</v>
      </c>
      <c r="K278">
        <v>2.4626152534931171E-2</v>
      </c>
    </row>
    <row r="279" spans="1:11" x14ac:dyDescent="0.3">
      <c r="A279" s="37">
        <v>1</v>
      </c>
      <c r="B279" t="s">
        <v>356</v>
      </c>
      <c r="C279" t="s">
        <v>500</v>
      </c>
      <c r="D279" t="s">
        <v>502</v>
      </c>
      <c r="E279">
        <v>26</v>
      </c>
      <c r="F279">
        <v>37.47</v>
      </c>
      <c r="G279">
        <v>35.974516129032253</v>
      </c>
      <c r="H279">
        <v>62.79</v>
      </c>
      <c r="I279">
        <v>0</v>
      </c>
      <c r="J279">
        <v>23.907419354838598</v>
      </c>
      <c r="K279">
        <v>2.454006215725257E-2</v>
      </c>
    </row>
    <row r="280" spans="1:11" x14ac:dyDescent="0.3">
      <c r="A280" s="37">
        <v>1</v>
      </c>
      <c r="B280" t="s">
        <v>357</v>
      </c>
      <c r="C280" t="s">
        <v>500</v>
      </c>
      <c r="D280" t="s">
        <v>502</v>
      </c>
      <c r="E280">
        <v>26</v>
      </c>
      <c r="F280">
        <v>37.47</v>
      </c>
      <c r="G280">
        <v>35.971290322580643</v>
      </c>
      <c r="H280">
        <v>62.79</v>
      </c>
      <c r="I280">
        <v>0</v>
      </c>
      <c r="J280">
        <v>23.823548387096739</v>
      </c>
      <c r="K280">
        <v>2.445397177957416E-2</v>
      </c>
    </row>
    <row r="281" spans="1:11" x14ac:dyDescent="0.3">
      <c r="A281" s="37">
        <v>1</v>
      </c>
      <c r="B281" t="s">
        <v>358</v>
      </c>
      <c r="C281" t="s">
        <v>500</v>
      </c>
      <c r="D281" t="s">
        <v>502</v>
      </c>
      <c r="E281">
        <v>26</v>
      </c>
      <c r="F281">
        <v>37.47</v>
      </c>
      <c r="G281">
        <v>35.968064516129033</v>
      </c>
      <c r="H281">
        <v>62.79</v>
      </c>
      <c r="I281">
        <v>0</v>
      </c>
      <c r="J281">
        <v>23.73967741935488</v>
      </c>
      <c r="K281">
        <v>2.4367881401895761E-2</v>
      </c>
    </row>
    <row r="282" spans="1:11" x14ac:dyDescent="0.3">
      <c r="A282" s="37">
        <v>1</v>
      </c>
      <c r="B282" t="s">
        <v>359</v>
      </c>
      <c r="C282" t="s">
        <v>500</v>
      </c>
      <c r="D282" t="s">
        <v>502</v>
      </c>
      <c r="E282">
        <v>26</v>
      </c>
      <c r="F282">
        <v>37.47</v>
      </c>
      <c r="G282">
        <v>35.964838709677423</v>
      </c>
      <c r="H282">
        <v>62.79</v>
      </c>
      <c r="I282">
        <v>0</v>
      </c>
      <c r="J282">
        <v>23.65580645161284</v>
      </c>
      <c r="K282">
        <v>2.428179102421716E-2</v>
      </c>
    </row>
    <row r="283" spans="1:11" x14ac:dyDescent="0.3">
      <c r="A283" s="37">
        <v>1</v>
      </c>
      <c r="B283" t="s">
        <v>360</v>
      </c>
      <c r="C283" t="s">
        <v>500</v>
      </c>
      <c r="D283" t="s">
        <v>502</v>
      </c>
      <c r="E283">
        <v>26</v>
      </c>
      <c r="F283">
        <v>37.47</v>
      </c>
      <c r="G283">
        <v>35.961612903225813</v>
      </c>
      <c r="H283">
        <v>62.79</v>
      </c>
      <c r="I283">
        <v>0</v>
      </c>
      <c r="J283">
        <v>23.57193548387098</v>
      </c>
      <c r="K283">
        <v>2.419570064653875E-2</v>
      </c>
    </row>
    <row r="284" spans="1:11" x14ac:dyDescent="0.3">
      <c r="A284" s="37">
        <v>1</v>
      </c>
      <c r="B284" t="s">
        <v>361</v>
      </c>
      <c r="C284" t="s">
        <v>500</v>
      </c>
      <c r="D284" t="s">
        <v>502</v>
      </c>
      <c r="E284">
        <v>26</v>
      </c>
      <c r="F284">
        <v>37.47</v>
      </c>
      <c r="G284">
        <v>35.958387096774189</v>
      </c>
      <c r="H284">
        <v>62.79</v>
      </c>
      <c r="I284">
        <v>0</v>
      </c>
      <c r="J284">
        <v>23.48806451612894</v>
      </c>
      <c r="K284">
        <v>2.4109610268860149E-2</v>
      </c>
    </row>
    <row r="285" spans="1:11" x14ac:dyDescent="0.3">
      <c r="A285" s="37">
        <v>1</v>
      </c>
      <c r="B285" t="s">
        <v>362</v>
      </c>
      <c r="C285" t="s">
        <v>500</v>
      </c>
      <c r="D285" t="s">
        <v>502</v>
      </c>
      <c r="E285">
        <v>26</v>
      </c>
      <c r="F285">
        <v>37.47</v>
      </c>
      <c r="G285">
        <v>35.955161290322579</v>
      </c>
      <c r="H285">
        <v>62.79</v>
      </c>
      <c r="I285">
        <v>0</v>
      </c>
      <c r="J285">
        <v>23.404193548387081</v>
      </c>
      <c r="K285">
        <v>2.402351989118174E-2</v>
      </c>
    </row>
    <row r="286" spans="1:11" x14ac:dyDescent="0.3">
      <c r="A286" s="37">
        <v>1</v>
      </c>
      <c r="B286" t="s">
        <v>363</v>
      </c>
      <c r="C286" t="s">
        <v>500</v>
      </c>
      <c r="D286" t="s">
        <v>502</v>
      </c>
      <c r="E286">
        <v>26</v>
      </c>
      <c r="F286">
        <v>37.47</v>
      </c>
      <c r="G286">
        <v>35.951935483870962</v>
      </c>
      <c r="H286">
        <v>62.79</v>
      </c>
      <c r="I286">
        <v>0</v>
      </c>
      <c r="J286">
        <v>23.32032258064503</v>
      </c>
      <c r="K286">
        <v>2.3937429513503139E-2</v>
      </c>
    </row>
    <row r="287" spans="1:11" x14ac:dyDescent="0.3">
      <c r="A287" s="37">
        <v>1</v>
      </c>
      <c r="B287" t="s">
        <v>364</v>
      </c>
      <c r="C287" t="s">
        <v>500</v>
      </c>
      <c r="D287" t="s">
        <v>502</v>
      </c>
      <c r="E287">
        <v>26</v>
      </c>
      <c r="F287">
        <v>37.47</v>
      </c>
      <c r="G287">
        <v>35.948709677419352</v>
      </c>
      <c r="H287">
        <v>62.79</v>
      </c>
      <c r="I287">
        <v>0</v>
      </c>
      <c r="J287">
        <v>23.236451612903171</v>
      </c>
      <c r="K287">
        <v>2.385133913582474E-2</v>
      </c>
    </row>
    <row r="288" spans="1:11" x14ac:dyDescent="0.3">
      <c r="A288" s="37">
        <v>1</v>
      </c>
      <c r="B288" t="s">
        <v>365</v>
      </c>
      <c r="C288" t="s">
        <v>500</v>
      </c>
      <c r="D288" t="s">
        <v>502</v>
      </c>
      <c r="E288">
        <v>26</v>
      </c>
      <c r="F288">
        <v>37.47</v>
      </c>
      <c r="G288">
        <v>35.945483870967742</v>
      </c>
      <c r="H288">
        <v>62.79</v>
      </c>
      <c r="I288">
        <v>0</v>
      </c>
      <c r="J288">
        <v>23.152580645161311</v>
      </c>
      <c r="K288">
        <v>2.376524875814633E-2</v>
      </c>
    </row>
    <row r="289" spans="1:11" x14ac:dyDescent="0.3">
      <c r="A289" s="37">
        <v>1</v>
      </c>
      <c r="B289" t="s">
        <v>366</v>
      </c>
      <c r="C289" t="s">
        <v>500</v>
      </c>
      <c r="D289" t="s">
        <v>502</v>
      </c>
      <c r="E289">
        <v>26</v>
      </c>
      <c r="F289">
        <v>37.47</v>
      </c>
      <c r="G289">
        <v>35.942258064516118</v>
      </c>
      <c r="H289">
        <v>62.79</v>
      </c>
      <c r="I289">
        <v>0</v>
      </c>
      <c r="J289">
        <v>23.068709677419271</v>
      </c>
      <c r="K289">
        <v>2.3679158380467729E-2</v>
      </c>
    </row>
    <row r="290" spans="1:11" x14ac:dyDescent="0.3">
      <c r="A290" s="37">
        <v>1</v>
      </c>
      <c r="B290" t="s">
        <v>367</v>
      </c>
      <c r="C290" t="s">
        <v>500</v>
      </c>
      <c r="D290" t="s">
        <v>502</v>
      </c>
      <c r="E290">
        <v>26</v>
      </c>
      <c r="F290">
        <v>37.47</v>
      </c>
      <c r="G290">
        <v>35.939032258064508</v>
      </c>
      <c r="H290">
        <v>62.79</v>
      </c>
      <c r="I290">
        <v>0</v>
      </c>
      <c r="J290">
        <v>22.984838709677408</v>
      </c>
      <c r="K290">
        <v>2.3593068002789319E-2</v>
      </c>
    </row>
    <row r="291" spans="1:11" x14ac:dyDescent="0.3">
      <c r="A291" s="37">
        <v>1</v>
      </c>
      <c r="B291" t="s">
        <v>368</v>
      </c>
      <c r="C291" t="s">
        <v>500</v>
      </c>
      <c r="D291" t="s">
        <v>502</v>
      </c>
      <c r="E291">
        <v>26</v>
      </c>
      <c r="F291">
        <v>37.47</v>
      </c>
      <c r="G291">
        <v>35.935806451612898</v>
      </c>
      <c r="H291">
        <v>62.79</v>
      </c>
      <c r="I291">
        <v>0</v>
      </c>
      <c r="J291">
        <v>22.900967741935371</v>
      </c>
      <c r="K291">
        <v>2.3506977625110718E-2</v>
      </c>
    </row>
    <row r="292" spans="1:11" x14ac:dyDescent="0.3">
      <c r="A292" s="37">
        <v>1</v>
      </c>
      <c r="B292" t="s">
        <v>369</v>
      </c>
      <c r="C292" t="s">
        <v>500</v>
      </c>
      <c r="D292" t="s">
        <v>502</v>
      </c>
      <c r="E292">
        <v>26</v>
      </c>
      <c r="F292">
        <v>37.47</v>
      </c>
      <c r="G292">
        <v>35.932580645161288</v>
      </c>
      <c r="H292">
        <v>62.79</v>
      </c>
      <c r="I292">
        <v>0</v>
      </c>
      <c r="J292">
        <v>22.817096774193509</v>
      </c>
      <c r="K292">
        <v>2.3420887247432309E-2</v>
      </c>
    </row>
    <row r="293" spans="1:11" x14ac:dyDescent="0.3">
      <c r="A293" s="37">
        <v>1</v>
      </c>
      <c r="B293" t="s">
        <v>370</v>
      </c>
      <c r="C293" t="s">
        <v>500</v>
      </c>
      <c r="D293" t="s">
        <v>502</v>
      </c>
      <c r="E293">
        <v>26</v>
      </c>
      <c r="F293">
        <v>37.47</v>
      </c>
      <c r="G293">
        <v>35.929354838709678</v>
      </c>
      <c r="H293">
        <v>62.79</v>
      </c>
      <c r="I293">
        <v>0</v>
      </c>
      <c r="J293">
        <v>22.733225806451649</v>
      </c>
      <c r="K293">
        <v>2.3334796869753909E-2</v>
      </c>
    </row>
    <row r="294" spans="1:11" x14ac:dyDescent="0.3">
      <c r="A294" s="37">
        <v>1</v>
      </c>
      <c r="B294" t="s">
        <v>371</v>
      </c>
      <c r="C294" t="s">
        <v>500</v>
      </c>
      <c r="D294" t="s">
        <v>502</v>
      </c>
      <c r="E294">
        <v>26</v>
      </c>
      <c r="F294">
        <v>37.47</v>
      </c>
      <c r="G294">
        <v>35.926129032258061</v>
      </c>
      <c r="H294">
        <v>62.79</v>
      </c>
      <c r="I294">
        <v>0</v>
      </c>
      <c r="J294">
        <v>22.649354838709609</v>
      </c>
      <c r="K294">
        <v>2.3248706492075309E-2</v>
      </c>
    </row>
    <row r="295" spans="1:11" x14ac:dyDescent="0.3">
      <c r="A295" s="37">
        <v>1</v>
      </c>
      <c r="B295" t="s">
        <v>372</v>
      </c>
      <c r="C295" t="s">
        <v>500</v>
      </c>
      <c r="D295" t="s">
        <v>502</v>
      </c>
      <c r="E295">
        <v>26</v>
      </c>
      <c r="F295">
        <v>37.47</v>
      </c>
      <c r="G295">
        <v>35.922903225806451</v>
      </c>
      <c r="H295">
        <v>62.79</v>
      </c>
      <c r="I295">
        <v>0</v>
      </c>
      <c r="J295">
        <v>22.56548387096775</v>
      </c>
      <c r="K295">
        <v>2.3162616114396899E-2</v>
      </c>
    </row>
    <row r="296" spans="1:11" x14ac:dyDescent="0.3">
      <c r="A296" s="37">
        <v>1</v>
      </c>
      <c r="B296" t="s">
        <v>373</v>
      </c>
      <c r="C296" t="s">
        <v>500</v>
      </c>
      <c r="D296" t="s">
        <v>502</v>
      </c>
      <c r="E296">
        <v>26</v>
      </c>
      <c r="F296">
        <v>37.47</v>
      </c>
      <c r="G296">
        <v>35.919677419354826</v>
      </c>
      <c r="H296">
        <v>62.79</v>
      </c>
      <c r="I296">
        <v>0</v>
      </c>
      <c r="J296">
        <v>22.481612903225699</v>
      </c>
      <c r="K296">
        <v>2.3076525736718301E-2</v>
      </c>
    </row>
    <row r="297" spans="1:11" x14ac:dyDescent="0.3">
      <c r="A297" s="37">
        <v>1</v>
      </c>
      <c r="B297" t="s">
        <v>374</v>
      </c>
      <c r="C297" t="s">
        <v>500</v>
      </c>
      <c r="D297" t="s">
        <v>502</v>
      </c>
      <c r="E297">
        <v>26</v>
      </c>
      <c r="F297">
        <v>37.47</v>
      </c>
      <c r="G297">
        <v>35.916451612903217</v>
      </c>
      <c r="H297">
        <v>62.79</v>
      </c>
      <c r="I297">
        <v>0</v>
      </c>
      <c r="J297">
        <v>22.39774193548384</v>
      </c>
      <c r="K297">
        <v>2.2990435359039892E-2</v>
      </c>
    </row>
    <row r="298" spans="1:11" x14ac:dyDescent="0.3">
      <c r="A298" s="37">
        <v>1</v>
      </c>
      <c r="B298" t="s">
        <v>375</v>
      </c>
      <c r="C298" t="s">
        <v>500</v>
      </c>
      <c r="D298" t="s">
        <v>502</v>
      </c>
      <c r="E298">
        <v>26</v>
      </c>
      <c r="F298">
        <v>37.47</v>
      </c>
      <c r="G298">
        <v>35.913225806451607</v>
      </c>
      <c r="H298">
        <v>62.79</v>
      </c>
      <c r="I298">
        <v>0</v>
      </c>
      <c r="J298">
        <v>22.313870967741799</v>
      </c>
      <c r="K298">
        <v>2.2904344981361291E-2</v>
      </c>
    </row>
    <row r="299" spans="1:11" x14ac:dyDescent="0.3">
      <c r="A299" s="37">
        <v>1</v>
      </c>
      <c r="B299" t="s">
        <v>376</v>
      </c>
      <c r="C299" t="s">
        <v>500</v>
      </c>
      <c r="D299" t="s">
        <v>502</v>
      </c>
      <c r="E299">
        <v>26</v>
      </c>
      <c r="F299">
        <v>37.47</v>
      </c>
      <c r="G299">
        <v>35.909999999999997</v>
      </c>
      <c r="H299">
        <v>62.79</v>
      </c>
      <c r="I299">
        <v>0</v>
      </c>
      <c r="J299">
        <v>22.22999999999994</v>
      </c>
      <c r="K299">
        <v>2.2818254603682881E-2</v>
      </c>
    </row>
    <row r="300" spans="1:11" x14ac:dyDescent="0.3">
      <c r="A300" s="37">
        <v>1</v>
      </c>
      <c r="B300" t="s">
        <v>377</v>
      </c>
      <c r="C300" t="s">
        <v>500</v>
      </c>
      <c r="D300" t="s">
        <v>502</v>
      </c>
      <c r="E300">
        <v>26</v>
      </c>
      <c r="F300">
        <v>37.47</v>
      </c>
      <c r="G300">
        <v>36.013103448275857</v>
      </c>
      <c r="H300">
        <v>73.94</v>
      </c>
      <c r="I300">
        <v>0</v>
      </c>
      <c r="J300">
        <v>36.060689655172297</v>
      </c>
      <c r="K300">
        <v>3.7014934670990429E-2</v>
      </c>
    </row>
    <row r="301" spans="1:11" x14ac:dyDescent="0.3">
      <c r="A301" s="37">
        <v>1</v>
      </c>
      <c r="B301" t="s">
        <v>378</v>
      </c>
      <c r="C301" t="s">
        <v>500</v>
      </c>
      <c r="D301" t="s">
        <v>502</v>
      </c>
      <c r="E301">
        <v>26</v>
      </c>
      <c r="F301">
        <v>37.47</v>
      </c>
      <c r="G301">
        <v>36.116206896551716</v>
      </c>
      <c r="H301">
        <v>73.94</v>
      </c>
      <c r="I301">
        <v>0</v>
      </c>
      <c r="J301">
        <v>38.74137931034484</v>
      </c>
      <c r="K301">
        <v>3.9766561259617778E-2</v>
      </c>
    </row>
    <row r="302" spans="1:11" x14ac:dyDescent="0.3">
      <c r="A302" s="37">
        <v>1</v>
      </c>
      <c r="B302" t="s">
        <v>379</v>
      </c>
      <c r="C302" t="s">
        <v>500</v>
      </c>
      <c r="D302" t="s">
        <v>502</v>
      </c>
      <c r="E302">
        <v>26</v>
      </c>
      <c r="F302">
        <v>37.47</v>
      </c>
      <c r="G302">
        <v>36.219310344827583</v>
      </c>
      <c r="H302">
        <v>73.94</v>
      </c>
      <c r="I302">
        <v>0</v>
      </c>
      <c r="J302">
        <v>41.422068965517198</v>
      </c>
      <c r="K302">
        <v>4.2518187848244952E-2</v>
      </c>
    </row>
    <row r="303" spans="1:11" x14ac:dyDescent="0.3">
      <c r="A303" s="37">
        <v>1</v>
      </c>
      <c r="B303" t="s">
        <v>380</v>
      </c>
      <c r="C303" t="s">
        <v>500</v>
      </c>
      <c r="D303" t="s">
        <v>502</v>
      </c>
      <c r="E303">
        <v>26</v>
      </c>
      <c r="F303">
        <v>37.47</v>
      </c>
      <c r="G303">
        <v>36.322413793103443</v>
      </c>
      <c r="H303">
        <v>73.94</v>
      </c>
      <c r="I303">
        <v>0</v>
      </c>
      <c r="J303">
        <v>44.102758620689563</v>
      </c>
      <c r="K303">
        <v>4.526981443687212E-2</v>
      </c>
    </row>
    <row r="304" spans="1:11" x14ac:dyDescent="0.3">
      <c r="A304" s="37">
        <v>1</v>
      </c>
      <c r="B304" t="s">
        <v>381</v>
      </c>
      <c r="C304" t="s">
        <v>500</v>
      </c>
      <c r="D304" t="s">
        <v>502</v>
      </c>
      <c r="E304">
        <v>26</v>
      </c>
      <c r="F304">
        <v>37.47</v>
      </c>
      <c r="G304">
        <v>36.42551724137931</v>
      </c>
      <c r="H304">
        <v>73.94</v>
      </c>
      <c r="I304">
        <v>0</v>
      </c>
      <c r="J304">
        <v>46.783448275862099</v>
      </c>
      <c r="K304">
        <v>4.8021441025499483E-2</v>
      </c>
    </row>
    <row r="305" spans="1:11" x14ac:dyDescent="0.3">
      <c r="A305" s="37">
        <v>1</v>
      </c>
      <c r="B305" t="s">
        <v>382</v>
      </c>
      <c r="C305" t="s">
        <v>500</v>
      </c>
      <c r="D305" t="s">
        <v>502</v>
      </c>
      <c r="E305">
        <v>26</v>
      </c>
      <c r="F305">
        <v>37.47</v>
      </c>
      <c r="G305">
        <v>36.52862068965517</v>
      </c>
      <c r="H305">
        <v>73.94</v>
      </c>
      <c r="I305">
        <v>0</v>
      </c>
      <c r="J305">
        <v>49.464137931034458</v>
      </c>
      <c r="K305">
        <v>5.0773067614126637E-2</v>
      </c>
    </row>
    <row r="306" spans="1:11" x14ac:dyDescent="0.3">
      <c r="A306" s="37">
        <v>1</v>
      </c>
      <c r="B306" t="s">
        <v>383</v>
      </c>
      <c r="C306" t="s">
        <v>500</v>
      </c>
      <c r="D306" t="s">
        <v>502</v>
      </c>
      <c r="E306">
        <v>26</v>
      </c>
      <c r="F306">
        <v>37.47</v>
      </c>
      <c r="G306">
        <v>36.63172413793103</v>
      </c>
      <c r="H306">
        <v>73.94</v>
      </c>
      <c r="I306">
        <v>0</v>
      </c>
      <c r="J306">
        <v>52.144827586206823</v>
      </c>
      <c r="K306">
        <v>5.3524694202753798E-2</v>
      </c>
    </row>
    <row r="307" spans="1:11" x14ac:dyDescent="0.3">
      <c r="A307" s="37">
        <v>1</v>
      </c>
      <c r="B307" t="s">
        <v>384</v>
      </c>
      <c r="C307" t="s">
        <v>500</v>
      </c>
      <c r="D307" t="s">
        <v>502</v>
      </c>
      <c r="E307">
        <v>26</v>
      </c>
      <c r="F307">
        <v>37.47</v>
      </c>
      <c r="G307">
        <v>36.73482758620689</v>
      </c>
      <c r="H307">
        <v>73.94</v>
      </c>
      <c r="I307">
        <v>0</v>
      </c>
      <c r="J307">
        <v>54.825517241379167</v>
      </c>
      <c r="K307">
        <v>5.6276320791380972E-2</v>
      </c>
    </row>
    <row r="308" spans="1:11" x14ac:dyDescent="0.3">
      <c r="A308" s="37">
        <v>1</v>
      </c>
      <c r="B308" t="s">
        <v>385</v>
      </c>
      <c r="C308" t="s">
        <v>500</v>
      </c>
      <c r="D308" t="s">
        <v>502</v>
      </c>
      <c r="E308">
        <v>26</v>
      </c>
      <c r="F308">
        <v>37.47</v>
      </c>
      <c r="G308">
        <v>36.837931034482757</v>
      </c>
      <c r="H308">
        <v>73.94</v>
      </c>
      <c r="I308">
        <v>0</v>
      </c>
      <c r="J308">
        <v>57.506206896551717</v>
      </c>
      <c r="K308">
        <v>5.9027947380008328E-2</v>
      </c>
    </row>
    <row r="309" spans="1:11" x14ac:dyDescent="0.3">
      <c r="A309" s="37">
        <v>1</v>
      </c>
      <c r="B309" t="s">
        <v>386</v>
      </c>
      <c r="C309" t="s">
        <v>500</v>
      </c>
      <c r="D309" t="s">
        <v>502</v>
      </c>
      <c r="E309">
        <v>26</v>
      </c>
      <c r="F309">
        <v>37.47</v>
      </c>
      <c r="G309">
        <v>36.941034482758617</v>
      </c>
      <c r="H309">
        <v>73.94</v>
      </c>
      <c r="I309">
        <v>0</v>
      </c>
      <c r="J309">
        <v>60.186896551724082</v>
      </c>
      <c r="K309">
        <v>6.1779573968635502E-2</v>
      </c>
    </row>
    <row r="310" spans="1:11" x14ac:dyDescent="0.3">
      <c r="A310" s="37">
        <v>1</v>
      </c>
      <c r="B310" t="s">
        <v>387</v>
      </c>
      <c r="C310" t="s">
        <v>500</v>
      </c>
      <c r="D310" t="s">
        <v>502</v>
      </c>
      <c r="E310">
        <v>26</v>
      </c>
      <c r="F310">
        <v>37.47</v>
      </c>
      <c r="G310">
        <v>37.044137931034477</v>
      </c>
      <c r="H310">
        <v>73.94</v>
      </c>
      <c r="I310">
        <v>0</v>
      </c>
      <c r="J310">
        <v>62.867586206896434</v>
      </c>
      <c r="K310">
        <v>6.4531200557262663E-2</v>
      </c>
    </row>
    <row r="311" spans="1:11" x14ac:dyDescent="0.3">
      <c r="A311" s="37">
        <v>1</v>
      </c>
      <c r="B311" t="s">
        <v>388</v>
      </c>
      <c r="C311" t="s">
        <v>500</v>
      </c>
      <c r="D311" t="s">
        <v>502</v>
      </c>
      <c r="E311">
        <v>26</v>
      </c>
      <c r="F311">
        <v>37.47</v>
      </c>
      <c r="G311">
        <v>37.147241379310337</v>
      </c>
      <c r="H311">
        <v>73.94</v>
      </c>
      <c r="I311">
        <v>0</v>
      </c>
      <c r="J311">
        <v>65.548275862068976</v>
      </c>
      <c r="K311">
        <v>6.7282827145890026E-2</v>
      </c>
    </row>
    <row r="312" spans="1:11" x14ac:dyDescent="0.3">
      <c r="A312" s="37">
        <v>1</v>
      </c>
      <c r="B312" t="s">
        <v>389</v>
      </c>
      <c r="C312" t="s">
        <v>500</v>
      </c>
      <c r="D312" t="s">
        <v>502</v>
      </c>
      <c r="E312">
        <v>26</v>
      </c>
      <c r="F312">
        <v>37.47</v>
      </c>
      <c r="G312">
        <v>37.250344827586197</v>
      </c>
      <c r="H312">
        <v>73.94</v>
      </c>
      <c r="I312">
        <v>0</v>
      </c>
      <c r="J312">
        <v>68.228965517241335</v>
      </c>
      <c r="K312">
        <v>7.003445373451718E-2</v>
      </c>
    </row>
    <row r="313" spans="1:11" x14ac:dyDescent="0.3">
      <c r="A313" s="37">
        <v>1</v>
      </c>
      <c r="B313" t="s">
        <v>390</v>
      </c>
      <c r="C313" t="s">
        <v>500</v>
      </c>
      <c r="D313" t="s">
        <v>502</v>
      </c>
      <c r="E313">
        <v>26</v>
      </c>
      <c r="F313">
        <v>37.47</v>
      </c>
      <c r="G313">
        <v>37.353448275862057</v>
      </c>
      <c r="H313">
        <v>73.94</v>
      </c>
      <c r="I313">
        <v>0</v>
      </c>
      <c r="J313">
        <v>70.909655172413693</v>
      </c>
      <c r="K313">
        <v>7.2786080323144348E-2</v>
      </c>
    </row>
    <row r="314" spans="1:11" x14ac:dyDescent="0.3">
      <c r="A314" s="37">
        <v>1</v>
      </c>
      <c r="B314" t="s">
        <v>391</v>
      </c>
      <c r="C314" t="s">
        <v>500</v>
      </c>
      <c r="D314" t="s">
        <v>502</v>
      </c>
      <c r="E314">
        <v>26</v>
      </c>
      <c r="F314">
        <v>37.47</v>
      </c>
      <c r="G314">
        <v>37.456551724137931</v>
      </c>
      <c r="H314">
        <v>73.94</v>
      </c>
      <c r="I314">
        <v>0</v>
      </c>
      <c r="J314">
        <v>73.590344827586236</v>
      </c>
      <c r="K314">
        <v>7.553770691177171E-2</v>
      </c>
    </row>
    <row r="315" spans="1:11" x14ac:dyDescent="0.3">
      <c r="A315" s="37">
        <v>1</v>
      </c>
      <c r="B315" t="s">
        <v>392</v>
      </c>
      <c r="C315" t="s">
        <v>500</v>
      </c>
      <c r="D315" t="s">
        <v>502</v>
      </c>
      <c r="E315">
        <v>26</v>
      </c>
      <c r="F315">
        <v>37.47</v>
      </c>
      <c r="G315">
        <v>37.559655172413791</v>
      </c>
      <c r="H315">
        <v>73.94</v>
      </c>
      <c r="I315">
        <v>0</v>
      </c>
      <c r="J315">
        <v>76.271034482758594</v>
      </c>
      <c r="K315">
        <v>7.8289333500398878E-2</v>
      </c>
    </row>
    <row r="316" spans="1:11" x14ac:dyDescent="0.3">
      <c r="A316" s="37">
        <v>1</v>
      </c>
      <c r="B316" t="s">
        <v>393</v>
      </c>
      <c r="C316" t="s">
        <v>500</v>
      </c>
      <c r="D316" t="s">
        <v>502</v>
      </c>
      <c r="E316">
        <v>26</v>
      </c>
      <c r="F316">
        <v>37.47</v>
      </c>
      <c r="G316">
        <v>37.662758620689651</v>
      </c>
      <c r="H316">
        <v>73.94</v>
      </c>
      <c r="I316">
        <v>0</v>
      </c>
      <c r="J316">
        <v>78.951724137930952</v>
      </c>
      <c r="K316">
        <v>8.1040960089026046E-2</v>
      </c>
    </row>
    <row r="317" spans="1:11" x14ac:dyDescent="0.3">
      <c r="A317" s="37">
        <v>1</v>
      </c>
      <c r="B317" t="s">
        <v>394</v>
      </c>
      <c r="C317" t="s">
        <v>500</v>
      </c>
      <c r="D317" t="s">
        <v>502</v>
      </c>
      <c r="E317">
        <v>26</v>
      </c>
      <c r="F317">
        <v>37.47</v>
      </c>
      <c r="G317">
        <v>37.765862068965518</v>
      </c>
      <c r="H317">
        <v>73.94</v>
      </c>
      <c r="I317">
        <v>0</v>
      </c>
      <c r="J317">
        <v>81.632413793103495</v>
      </c>
      <c r="K317">
        <v>8.3792586677653394E-2</v>
      </c>
    </row>
    <row r="318" spans="1:11" x14ac:dyDescent="0.3">
      <c r="A318" s="37">
        <v>1</v>
      </c>
      <c r="B318" t="s">
        <v>395</v>
      </c>
      <c r="C318" t="s">
        <v>500</v>
      </c>
      <c r="D318" t="s">
        <v>502</v>
      </c>
      <c r="E318">
        <v>26</v>
      </c>
      <c r="F318">
        <v>37.47</v>
      </c>
      <c r="G318">
        <v>37.868965517241378</v>
      </c>
      <c r="H318">
        <v>73.94</v>
      </c>
      <c r="I318">
        <v>0</v>
      </c>
      <c r="J318">
        <v>84.313103448275854</v>
      </c>
      <c r="K318">
        <v>8.6544213266280562E-2</v>
      </c>
    </row>
    <row r="319" spans="1:11" x14ac:dyDescent="0.3">
      <c r="A319" s="37">
        <v>1</v>
      </c>
      <c r="B319" t="s">
        <v>396</v>
      </c>
      <c r="C319" t="s">
        <v>500</v>
      </c>
      <c r="D319" t="s">
        <v>502</v>
      </c>
      <c r="E319">
        <v>26</v>
      </c>
      <c r="F319">
        <v>37.47</v>
      </c>
      <c r="G319">
        <v>37.972068965517238</v>
      </c>
      <c r="H319">
        <v>73.94</v>
      </c>
      <c r="I319">
        <v>0</v>
      </c>
      <c r="J319">
        <v>86.993793103448212</v>
      </c>
      <c r="K319">
        <v>8.929583985490773E-2</v>
      </c>
    </row>
    <row r="320" spans="1:11" x14ac:dyDescent="0.3">
      <c r="A320" s="37">
        <v>1</v>
      </c>
      <c r="B320" t="s">
        <v>397</v>
      </c>
      <c r="C320" t="s">
        <v>500</v>
      </c>
      <c r="D320" t="s">
        <v>502</v>
      </c>
      <c r="E320">
        <v>26</v>
      </c>
      <c r="F320">
        <v>37.47</v>
      </c>
      <c r="G320">
        <v>38.075172413793098</v>
      </c>
      <c r="H320">
        <v>73.94</v>
      </c>
      <c r="I320">
        <v>0</v>
      </c>
      <c r="J320">
        <v>89.67448275862057</v>
      </c>
      <c r="K320">
        <v>9.2047466443534898E-2</v>
      </c>
    </row>
    <row r="321" spans="1:11" x14ac:dyDescent="0.3">
      <c r="A321" s="37">
        <v>1</v>
      </c>
      <c r="B321" t="s">
        <v>398</v>
      </c>
      <c r="C321" t="s">
        <v>500</v>
      </c>
      <c r="D321" t="s">
        <v>502</v>
      </c>
      <c r="E321">
        <v>26</v>
      </c>
      <c r="F321">
        <v>37.47</v>
      </c>
      <c r="G321">
        <v>38.178275862068958</v>
      </c>
      <c r="H321">
        <v>73.94</v>
      </c>
      <c r="I321">
        <v>0</v>
      </c>
      <c r="J321">
        <v>92.355172413793113</v>
      </c>
      <c r="K321">
        <v>9.479909303216226E-2</v>
      </c>
    </row>
    <row r="322" spans="1:11" x14ac:dyDescent="0.3">
      <c r="A322" s="37">
        <v>1</v>
      </c>
      <c r="B322" t="s">
        <v>399</v>
      </c>
      <c r="C322" t="s">
        <v>500</v>
      </c>
      <c r="D322" t="s">
        <v>502</v>
      </c>
      <c r="E322">
        <v>26</v>
      </c>
      <c r="F322">
        <v>37.47</v>
      </c>
      <c r="G322">
        <v>38.281379310344818</v>
      </c>
      <c r="H322">
        <v>73.94</v>
      </c>
      <c r="I322">
        <v>0</v>
      </c>
      <c r="J322">
        <v>95.035862068965471</v>
      </c>
      <c r="K322">
        <v>9.7550719620789414E-2</v>
      </c>
    </row>
    <row r="323" spans="1:11" x14ac:dyDescent="0.3">
      <c r="A323" s="37">
        <v>1</v>
      </c>
      <c r="B323" t="s">
        <v>400</v>
      </c>
      <c r="C323" t="s">
        <v>500</v>
      </c>
      <c r="D323" t="s">
        <v>502</v>
      </c>
      <c r="E323">
        <v>26</v>
      </c>
      <c r="F323">
        <v>37.47</v>
      </c>
      <c r="G323">
        <v>38.384482758620678</v>
      </c>
      <c r="H323">
        <v>73.94</v>
      </c>
      <c r="I323">
        <v>0</v>
      </c>
      <c r="J323">
        <v>97.71655172413783</v>
      </c>
      <c r="K323">
        <v>0.1003023462094166</v>
      </c>
    </row>
    <row r="324" spans="1:11" x14ac:dyDescent="0.3">
      <c r="A324" s="37">
        <v>1</v>
      </c>
      <c r="B324" t="s">
        <v>401</v>
      </c>
      <c r="C324" t="s">
        <v>500</v>
      </c>
      <c r="D324" t="s">
        <v>502</v>
      </c>
      <c r="E324">
        <v>26</v>
      </c>
      <c r="F324">
        <v>37.47</v>
      </c>
      <c r="G324">
        <v>38.487586206896552</v>
      </c>
      <c r="H324">
        <v>73.94</v>
      </c>
      <c r="I324">
        <v>0</v>
      </c>
      <c r="J324">
        <v>100.3972413793104</v>
      </c>
      <c r="K324">
        <v>0.1030539727980439</v>
      </c>
    </row>
    <row r="325" spans="1:11" x14ac:dyDescent="0.3">
      <c r="A325" s="37">
        <v>1</v>
      </c>
      <c r="B325" t="s">
        <v>402</v>
      </c>
      <c r="C325" t="s">
        <v>500</v>
      </c>
      <c r="D325" t="s">
        <v>502</v>
      </c>
      <c r="E325">
        <v>26</v>
      </c>
      <c r="F325">
        <v>37.47</v>
      </c>
      <c r="G325">
        <v>38.590689655172412</v>
      </c>
      <c r="H325">
        <v>73.94</v>
      </c>
      <c r="I325">
        <v>0</v>
      </c>
      <c r="J325">
        <v>103.0779310344827</v>
      </c>
      <c r="K325">
        <v>0.1058055993866711</v>
      </c>
    </row>
    <row r="326" spans="1:11" x14ac:dyDescent="0.3">
      <c r="A326" s="37">
        <v>1</v>
      </c>
      <c r="B326" t="s">
        <v>403</v>
      </c>
      <c r="C326" t="s">
        <v>500</v>
      </c>
      <c r="D326" t="s">
        <v>502</v>
      </c>
      <c r="E326">
        <v>26</v>
      </c>
      <c r="F326">
        <v>37.47</v>
      </c>
      <c r="G326">
        <v>38.693793103448272</v>
      </c>
      <c r="H326">
        <v>73.94</v>
      </c>
      <c r="I326">
        <v>0</v>
      </c>
      <c r="J326">
        <v>105.7586206896551</v>
      </c>
      <c r="K326">
        <v>0.10855722597529829</v>
      </c>
    </row>
    <row r="327" spans="1:11" x14ac:dyDescent="0.3">
      <c r="A327" s="37">
        <v>1</v>
      </c>
      <c r="B327" t="s">
        <v>404</v>
      </c>
      <c r="C327" t="s">
        <v>500</v>
      </c>
      <c r="D327" t="s">
        <v>502</v>
      </c>
      <c r="E327">
        <v>26</v>
      </c>
      <c r="F327">
        <v>37.47</v>
      </c>
      <c r="G327">
        <v>38.796896551724139</v>
      </c>
      <c r="H327">
        <v>73.94</v>
      </c>
      <c r="I327">
        <v>0</v>
      </c>
      <c r="J327">
        <v>108.4393103448276</v>
      </c>
      <c r="K327">
        <v>0.1113088525639256</v>
      </c>
    </row>
    <row r="328" spans="1:11" x14ac:dyDescent="0.3">
      <c r="A328" s="37">
        <v>1</v>
      </c>
      <c r="B328" t="s">
        <v>405</v>
      </c>
      <c r="C328" t="s">
        <v>500</v>
      </c>
      <c r="D328" t="s">
        <v>502</v>
      </c>
      <c r="E328">
        <v>26</v>
      </c>
      <c r="F328">
        <v>37.47</v>
      </c>
      <c r="G328">
        <v>38.9</v>
      </c>
      <c r="H328">
        <v>73.94</v>
      </c>
      <c r="I328">
        <v>0</v>
      </c>
      <c r="J328">
        <v>111.12</v>
      </c>
      <c r="K328">
        <v>0.1140604791525528</v>
      </c>
    </row>
    <row r="329" spans="1:11" x14ac:dyDescent="0.3">
      <c r="A329" s="37">
        <v>1</v>
      </c>
      <c r="B329" t="s">
        <v>406</v>
      </c>
      <c r="C329" t="s">
        <v>500</v>
      </c>
      <c r="D329" t="s">
        <v>502</v>
      </c>
      <c r="E329">
        <v>26</v>
      </c>
      <c r="F329">
        <v>37.47</v>
      </c>
      <c r="G329">
        <v>38.81258064516129</v>
      </c>
      <c r="H329">
        <v>73.94</v>
      </c>
      <c r="I329">
        <v>0</v>
      </c>
      <c r="J329">
        <v>108.8470967741936</v>
      </c>
      <c r="K329">
        <v>0.1117274299174658</v>
      </c>
    </row>
    <row r="330" spans="1:11" x14ac:dyDescent="0.3">
      <c r="A330" s="37">
        <v>1</v>
      </c>
      <c r="B330" t="s">
        <v>407</v>
      </c>
      <c r="C330" t="s">
        <v>500</v>
      </c>
      <c r="D330" t="s">
        <v>502</v>
      </c>
      <c r="E330">
        <v>26</v>
      </c>
      <c r="F330">
        <v>37.47</v>
      </c>
      <c r="G330">
        <v>38.725161290322582</v>
      </c>
      <c r="H330">
        <v>126.91</v>
      </c>
      <c r="I330">
        <v>0</v>
      </c>
      <c r="J330">
        <v>159.5441935483872</v>
      </c>
      <c r="K330">
        <v>0.16376608317257621</v>
      </c>
    </row>
    <row r="331" spans="1:11" x14ac:dyDescent="0.3">
      <c r="A331" s="37">
        <v>1</v>
      </c>
      <c r="B331" t="s">
        <v>408</v>
      </c>
      <c r="C331" t="s">
        <v>500</v>
      </c>
      <c r="D331" t="s">
        <v>502</v>
      </c>
      <c r="E331">
        <v>26</v>
      </c>
      <c r="F331">
        <v>37.47</v>
      </c>
      <c r="G331">
        <v>38.637741935483866</v>
      </c>
      <c r="H331">
        <v>126.91</v>
      </c>
      <c r="I331">
        <v>0</v>
      </c>
      <c r="J331">
        <v>157.2712903225806</v>
      </c>
      <c r="K331">
        <v>0.16143303393748901</v>
      </c>
    </row>
    <row r="332" spans="1:11" x14ac:dyDescent="0.3">
      <c r="A332" s="37">
        <v>1</v>
      </c>
      <c r="B332" t="s">
        <v>409</v>
      </c>
      <c r="C332" t="s">
        <v>500</v>
      </c>
      <c r="D332" t="s">
        <v>502</v>
      </c>
      <c r="E332">
        <v>26</v>
      </c>
      <c r="F332">
        <v>37.47</v>
      </c>
      <c r="G332">
        <v>38.550322580645158</v>
      </c>
      <c r="H332">
        <v>126.91</v>
      </c>
      <c r="I332">
        <v>0</v>
      </c>
      <c r="J332">
        <v>154.99838709677411</v>
      </c>
      <c r="K332">
        <v>0.15909998470240211</v>
      </c>
    </row>
    <row r="333" spans="1:11" x14ac:dyDescent="0.3">
      <c r="A333" s="37">
        <v>1</v>
      </c>
      <c r="B333" t="s">
        <v>410</v>
      </c>
      <c r="C333" t="s">
        <v>500</v>
      </c>
      <c r="D333" t="s">
        <v>502</v>
      </c>
      <c r="E333">
        <v>26</v>
      </c>
      <c r="F333">
        <v>37.47</v>
      </c>
      <c r="G333">
        <v>38.46290322580645</v>
      </c>
      <c r="H333">
        <v>126.91</v>
      </c>
      <c r="I333">
        <v>0</v>
      </c>
      <c r="J333">
        <v>152.72548387096771</v>
      </c>
      <c r="K333">
        <v>0.1567669354673151</v>
      </c>
    </row>
    <row r="334" spans="1:11" x14ac:dyDescent="0.3">
      <c r="A334" s="37">
        <v>1</v>
      </c>
      <c r="B334" t="s">
        <v>411</v>
      </c>
      <c r="C334" t="s">
        <v>500</v>
      </c>
      <c r="D334" t="s">
        <v>502</v>
      </c>
      <c r="E334">
        <v>26</v>
      </c>
      <c r="F334">
        <v>37.47</v>
      </c>
      <c r="G334">
        <v>38.375483870967741</v>
      </c>
      <c r="H334">
        <v>126.91</v>
      </c>
      <c r="I334">
        <v>0</v>
      </c>
      <c r="J334">
        <v>150.45258064516131</v>
      </c>
      <c r="K334">
        <v>0.15443388623222809</v>
      </c>
    </row>
    <row r="335" spans="1:11" x14ac:dyDescent="0.3">
      <c r="A335" s="37">
        <v>1</v>
      </c>
      <c r="B335" t="s">
        <v>412</v>
      </c>
      <c r="C335" t="s">
        <v>500</v>
      </c>
      <c r="D335" t="s">
        <v>502</v>
      </c>
      <c r="E335">
        <v>26</v>
      </c>
      <c r="F335">
        <v>37.47</v>
      </c>
      <c r="G335">
        <v>38.288064516129033</v>
      </c>
      <c r="H335">
        <v>126.91</v>
      </c>
      <c r="I335">
        <v>0</v>
      </c>
      <c r="J335">
        <v>148.1796774193549</v>
      </c>
      <c r="K335">
        <v>0.15210083699714119</v>
      </c>
    </row>
    <row r="336" spans="1:11" x14ac:dyDescent="0.3">
      <c r="A336" s="37">
        <v>1</v>
      </c>
      <c r="B336" t="s">
        <v>413</v>
      </c>
      <c r="C336" t="s">
        <v>500</v>
      </c>
      <c r="D336" t="s">
        <v>502</v>
      </c>
      <c r="E336">
        <v>26</v>
      </c>
      <c r="F336">
        <v>37.47</v>
      </c>
      <c r="G336">
        <v>38.200645161290318</v>
      </c>
      <c r="H336">
        <v>126.91</v>
      </c>
      <c r="I336">
        <v>0</v>
      </c>
      <c r="J336">
        <v>145.9067741935483</v>
      </c>
      <c r="K336">
        <v>0.14976778776205399</v>
      </c>
    </row>
    <row r="337" spans="1:11" x14ac:dyDescent="0.3">
      <c r="A337" s="37">
        <v>1</v>
      </c>
      <c r="B337" t="s">
        <v>414</v>
      </c>
      <c r="C337" t="s">
        <v>500</v>
      </c>
      <c r="D337" t="s">
        <v>502</v>
      </c>
      <c r="E337">
        <v>26</v>
      </c>
      <c r="F337">
        <v>37.47</v>
      </c>
      <c r="G337">
        <v>38.113225806451609</v>
      </c>
      <c r="H337">
        <v>126.91</v>
      </c>
      <c r="I337">
        <v>0</v>
      </c>
      <c r="J337">
        <v>143.6338709677419</v>
      </c>
      <c r="K337">
        <v>0.14743473852696709</v>
      </c>
    </row>
    <row r="338" spans="1:11" x14ac:dyDescent="0.3">
      <c r="A338" s="37">
        <v>1</v>
      </c>
      <c r="B338" t="s">
        <v>415</v>
      </c>
      <c r="C338" t="s">
        <v>500</v>
      </c>
      <c r="D338" t="s">
        <v>502</v>
      </c>
      <c r="E338">
        <v>26</v>
      </c>
      <c r="F338">
        <v>37.47</v>
      </c>
      <c r="G338">
        <v>38.025806451612901</v>
      </c>
      <c r="H338">
        <v>126.91</v>
      </c>
      <c r="I338">
        <v>0</v>
      </c>
      <c r="J338">
        <v>141.36096774193541</v>
      </c>
      <c r="K338">
        <v>0.14510168929188011</v>
      </c>
    </row>
    <row r="339" spans="1:11" x14ac:dyDescent="0.3">
      <c r="A339" s="37">
        <v>1</v>
      </c>
      <c r="B339" t="s">
        <v>416</v>
      </c>
      <c r="C339" t="s">
        <v>500</v>
      </c>
      <c r="D339" t="s">
        <v>502</v>
      </c>
      <c r="E339">
        <v>26</v>
      </c>
      <c r="F339">
        <v>37.47</v>
      </c>
      <c r="G339">
        <v>37.938387096774193</v>
      </c>
      <c r="H339">
        <v>126.91</v>
      </c>
      <c r="I339">
        <v>0</v>
      </c>
      <c r="J339">
        <v>139.08806451612901</v>
      </c>
      <c r="K339">
        <v>0.14276864005679321</v>
      </c>
    </row>
    <row r="340" spans="1:11" x14ac:dyDescent="0.3">
      <c r="A340" s="37">
        <v>1</v>
      </c>
      <c r="B340" t="s">
        <v>417</v>
      </c>
      <c r="C340" t="s">
        <v>500</v>
      </c>
      <c r="D340" t="s">
        <v>502</v>
      </c>
      <c r="E340">
        <v>26</v>
      </c>
      <c r="F340">
        <v>37.47</v>
      </c>
      <c r="G340">
        <v>37.850967741935477</v>
      </c>
      <c r="H340">
        <v>126.91</v>
      </c>
      <c r="I340">
        <v>0</v>
      </c>
      <c r="J340">
        <v>136.81516129032261</v>
      </c>
      <c r="K340">
        <v>0.1404355908217062</v>
      </c>
    </row>
    <row r="341" spans="1:11" x14ac:dyDescent="0.3">
      <c r="A341" s="37">
        <v>1</v>
      </c>
      <c r="B341" t="s">
        <v>418</v>
      </c>
      <c r="C341" t="s">
        <v>500</v>
      </c>
      <c r="D341" t="s">
        <v>502</v>
      </c>
      <c r="E341">
        <v>26</v>
      </c>
      <c r="F341">
        <v>37.47</v>
      </c>
      <c r="G341">
        <v>37.763548387096783</v>
      </c>
      <c r="H341">
        <v>126.91</v>
      </c>
      <c r="I341">
        <v>0</v>
      </c>
      <c r="J341">
        <v>134.5422580645162</v>
      </c>
      <c r="K341">
        <v>0.13810254158661919</v>
      </c>
    </row>
    <row r="342" spans="1:11" x14ac:dyDescent="0.3">
      <c r="A342" s="37">
        <v>1</v>
      </c>
      <c r="B342" t="s">
        <v>419</v>
      </c>
      <c r="C342" t="s">
        <v>500</v>
      </c>
      <c r="D342" t="s">
        <v>502</v>
      </c>
      <c r="E342">
        <v>26</v>
      </c>
      <c r="F342">
        <v>37.47</v>
      </c>
      <c r="G342">
        <v>37.676129032258061</v>
      </c>
      <c r="H342">
        <v>126.91</v>
      </c>
      <c r="I342">
        <v>0</v>
      </c>
      <c r="J342">
        <v>132.2693548387096</v>
      </c>
      <c r="K342">
        <v>0.1357694923515321</v>
      </c>
    </row>
    <row r="343" spans="1:11" x14ac:dyDescent="0.3">
      <c r="A343" s="37">
        <v>1</v>
      </c>
      <c r="B343" t="s">
        <v>420</v>
      </c>
      <c r="C343" t="s">
        <v>500</v>
      </c>
      <c r="D343" t="s">
        <v>502</v>
      </c>
      <c r="E343">
        <v>26</v>
      </c>
      <c r="F343">
        <v>37.47</v>
      </c>
      <c r="G343">
        <v>37.588709677419352</v>
      </c>
      <c r="H343">
        <v>126.91</v>
      </c>
      <c r="I343">
        <v>0</v>
      </c>
      <c r="J343">
        <v>129.9964516129032</v>
      </c>
      <c r="K343">
        <v>0.13343644311644509</v>
      </c>
    </row>
    <row r="344" spans="1:11" x14ac:dyDescent="0.3">
      <c r="A344" s="37">
        <v>1</v>
      </c>
      <c r="B344" t="s">
        <v>421</v>
      </c>
      <c r="C344" t="s">
        <v>500</v>
      </c>
      <c r="D344" t="s">
        <v>502</v>
      </c>
      <c r="E344">
        <v>26</v>
      </c>
      <c r="F344">
        <v>37.47</v>
      </c>
      <c r="G344">
        <v>37.501290322580637</v>
      </c>
      <c r="H344">
        <v>126.91</v>
      </c>
      <c r="I344">
        <v>0</v>
      </c>
      <c r="J344">
        <v>127.7235483870968</v>
      </c>
      <c r="K344">
        <v>0.13110339388135819</v>
      </c>
    </row>
    <row r="345" spans="1:11" x14ac:dyDescent="0.3">
      <c r="A345" s="37">
        <v>1</v>
      </c>
      <c r="B345" t="s">
        <v>422</v>
      </c>
      <c r="C345" t="s">
        <v>500</v>
      </c>
      <c r="D345" t="s">
        <v>502</v>
      </c>
      <c r="E345">
        <v>26</v>
      </c>
      <c r="F345">
        <v>37.47</v>
      </c>
      <c r="G345">
        <v>37.413870967741943</v>
      </c>
      <c r="H345">
        <v>126.91</v>
      </c>
      <c r="I345">
        <v>0</v>
      </c>
      <c r="J345">
        <v>125.4506451612904</v>
      </c>
      <c r="K345">
        <v>0.12877034464627121</v>
      </c>
    </row>
    <row r="346" spans="1:11" x14ac:dyDescent="0.3">
      <c r="A346" s="37">
        <v>1</v>
      </c>
      <c r="B346" t="s">
        <v>423</v>
      </c>
      <c r="C346" t="s">
        <v>500</v>
      </c>
      <c r="D346" t="s">
        <v>502</v>
      </c>
      <c r="E346">
        <v>26</v>
      </c>
      <c r="F346">
        <v>37.47</v>
      </c>
      <c r="G346">
        <v>37.326451612903227</v>
      </c>
      <c r="H346">
        <v>126.91</v>
      </c>
      <c r="I346">
        <v>0</v>
      </c>
      <c r="J346">
        <v>123.17774193548389</v>
      </c>
      <c r="K346">
        <v>0.12643729541118429</v>
      </c>
    </row>
    <row r="347" spans="1:11" x14ac:dyDescent="0.3">
      <c r="A347" s="37">
        <v>1</v>
      </c>
      <c r="B347" t="s">
        <v>424</v>
      </c>
      <c r="C347" t="s">
        <v>500</v>
      </c>
      <c r="D347" t="s">
        <v>502</v>
      </c>
      <c r="E347">
        <v>26</v>
      </c>
      <c r="F347">
        <v>37.47</v>
      </c>
      <c r="G347">
        <v>37.239032258064512</v>
      </c>
      <c r="H347">
        <v>126.91</v>
      </c>
      <c r="I347">
        <v>0</v>
      </c>
      <c r="J347">
        <v>120.90483870967731</v>
      </c>
      <c r="K347">
        <v>0.1241042461760971</v>
      </c>
    </row>
    <row r="348" spans="1:11" x14ac:dyDescent="0.3">
      <c r="A348" s="37">
        <v>1</v>
      </c>
      <c r="B348" t="s">
        <v>425</v>
      </c>
      <c r="C348" t="s">
        <v>500</v>
      </c>
      <c r="D348" t="s">
        <v>502</v>
      </c>
      <c r="E348">
        <v>26</v>
      </c>
      <c r="F348">
        <v>37.47</v>
      </c>
      <c r="G348">
        <v>37.151612903225796</v>
      </c>
      <c r="H348">
        <v>126.91</v>
      </c>
      <c r="I348">
        <v>0</v>
      </c>
      <c r="J348">
        <v>118.6319354838709</v>
      </c>
      <c r="K348">
        <v>0.1217711969410102</v>
      </c>
    </row>
    <row r="349" spans="1:11" x14ac:dyDescent="0.3">
      <c r="A349" s="37">
        <v>1</v>
      </c>
      <c r="B349" t="s">
        <v>426</v>
      </c>
      <c r="C349" t="s">
        <v>500</v>
      </c>
      <c r="D349" t="s">
        <v>502</v>
      </c>
      <c r="E349">
        <v>26</v>
      </c>
      <c r="F349">
        <v>37.47</v>
      </c>
      <c r="G349">
        <v>37.064193548387102</v>
      </c>
      <c r="H349">
        <v>126.91</v>
      </c>
      <c r="I349">
        <v>0</v>
      </c>
      <c r="J349">
        <v>116.3590322580645</v>
      </c>
      <c r="K349">
        <v>0.1194381477059232</v>
      </c>
    </row>
    <row r="350" spans="1:11" x14ac:dyDescent="0.3">
      <c r="A350" s="37">
        <v>1</v>
      </c>
      <c r="B350" t="s">
        <v>427</v>
      </c>
      <c r="C350" t="s">
        <v>500</v>
      </c>
      <c r="D350" t="s">
        <v>502</v>
      </c>
      <c r="E350">
        <v>26</v>
      </c>
      <c r="F350">
        <v>37.47</v>
      </c>
      <c r="G350">
        <v>36.976774193548387</v>
      </c>
      <c r="H350">
        <v>126.91</v>
      </c>
      <c r="I350">
        <v>0</v>
      </c>
      <c r="J350">
        <v>114.0861290322581</v>
      </c>
      <c r="K350">
        <v>0.11710509847083619</v>
      </c>
    </row>
    <row r="351" spans="1:11" x14ac:dyDescent="0.3">
      <c r="A351" s="37">
        <v>1</v>
      </c>
      <c r="B351" t="s">
        <v>428</v>
      </c>
      <c r="C351" t="s">
        <v>500</v>
      </c>
      <c r="D351" t="s">
        <v>502</v>
      </c>
      <c r="E351">
        <v>26</v>
      </c>
      <c r="F351">
        <v>37.47</v>
      </c>
      <c r="G351">
        <v>36.889354838709679</v>
      </c>
      <c r="H351">
        <v>126.91</v>
      </c>
      <c r="I351">
        <v>0</v>
      </c>
      <c r="J351">
        <v>111.8132258064517</v>
      </c>
      <c r="K351">
        <v>0.1147720492357493</v>
      </c>
    </row>
    <row r="352" spans="1:11" x14ac:dyDescent="0.3">
      <c r="A352" s="37">
        <v>1</v>
      </c>
      <c r="B352" t="s">
        <v>429</v>
      </c>
      <c r="C352" t="s">
        <v>500</v>
      </c>
      <c r="D352" t="s">
        <v>502</v>
      </c>
      <c r="E352">
        <v>26</v>
      </c>
      <c r="F352">
        <v>37.47</v>
      </c>
      <c r="G352">
        <v>36.801935483870963</v>
      </c>
      <c r="H352">
        <v>126.91</v>
      </c>
      <c r="I352">
        <v>0</v>
      </c>
      <c r="J352">
        <v>109.5403225806451</v>
      </c>
      <c r="K352">
        <v>0.11243900000066211</v>
      </c>
    </row>
    <row r="353" spans="1:11" x14ac:dyDescent="0.3">
      <c r="A353" s="37">
        <v>1</v>
      </c>
      <c r="B353" t="s">
        <v>430</v>
      </c>
      <c r="C353" t="s">
        <v>500</v>
      </c>
      <c r="D353" t="s">
        <v>502</v>
      </c>
      <c r="E353">
        <v>26</v>
      </c>
      <c r="F353">
        <v>37.47</v>
      </c>
      <c r="G353">
        <v>36.714516129032248</v>
      </c>
      <c r="H353">
        <v>126.91</v>
      </c>
      <c r="I353">
        <v>0</v>
      </c>
      <c r="J353">
        <v>107.26741935483869</v>
      </c>
      <c r="K353">
        <v>0.11010595076557519</v>
      </c>
    </row>
    <row r="354" spans="1:11" x14ac:dyDescent="0.3">
      <c r="A354" s="37">
        <v>1</v>
      </c>
      <c r="B354" t="s">
        <v>431</v>
      </c>
      <c r="C354" t="s">
        <v>500</v>
      </c>
      <c r="D354" t="s">
        <v>502</v>
      </c>
      <c r="E354">
        <v>26</v>
      </c>
      <c r="F354">
        <v>37.47</v>
      </c>
      <c r="G354">
        <v>36.627096774193546</v>
      </c>
      <c r="H354">
        <v>126.91</v>
      </c>
      <c r="I354">
        <v>0</v>
      </c>
      <c r="J354">
        <v>104.99451612903221</v>
      </c>
      <c r="K354">
        <v>0.1077729015304882</v>
      </c>
    </row>
    <row r="355" spans="1:11" x14ac:dyDescent="0.3">
      <c r="A355" s="37">
        <v>1</v>
      </c>
      <c r="B355" t="s">
        <v>432</v>
      </c>
      <c r="C355" t="s">
        <v>500</v>
      </c>
      <c r="D355" t="s">
        <v>502</v>
      </c>
      <c r="E355">
        <v>26</v>
      </c>
      <c r="F355">
        <v>37.47</v>
      </c>
      <c r="G355">
        <v>36.539677419354838</v>
      </c>
      <c r="H355">
        <v>126.91</v>
      </c>
      <c r="I355">
        <v>0</v>
      </c>
      <c r="J355">
        <v>102.7216129032258</v>
      </c>
      <c r="K355">
        <v>0.1054398522954013</v>
      </c>
    </row>
    <row r="356" spans="1:11" x14ac:dyDescent="0.3">
      <c r="A356" s="37">
        <v>1</v>
      </c>
      <c r="B356" t="s">
        <v>433</v>
      </c>
      <c r="C356" t="s">
        <v>500</v>
      </c>
      <c r="D356" t="s">
        <v>502</v>
      </c>
      <c r="E356">
        <v>26</v>
      </c>
      <c r="F356">
        <v>37.47</v>
      </c>
      <c r="G356">
        <v>36.45225806451613</v>
      </c>
      <c r="H356">
        <v>126.91</v>
      </c>
      <c r="I356">
        <v>0</v>
      </c>
      <c r="J356">
        <v>100.4487096774194</v>
      </c>
      <c r="K356">
        <v>0.10310680306031431</v>
      </c>
    </row>
    <row r="357" spans="1:11" x14ac:dyDescent="0.3">
      <c r="A357" s="37">
        <v>1</v>
      </c>
      <c r="B357" t="s">
        <v>434</v>
      </c>
      <c r="C357" t="s">
        <v>500</v>
      </c>
      <c r="D357" t="s">
        <v>502</v>
      </c>
      <c r="E357">
        <v>26</v>
      </c>
      <c r="F357">
        <v>37.47</v>
      </c>
      <c r="G357">
        <v>36.364838709677407</v>
      </c>
      <c r="H357">
        <v>126.91</v>
      </c>
      <c r="I357">
        <v>0</v>
      </c>
      <c r="J357">
        <v>98.1758064516128</v>
      </c>
      <c r="K357">
        <v>0.1007737538252272</v>
      </c>
    </row>
    <row r="358" spans="1:11" x14ac:dyDescent="0.3">
      <c r="A358" s="37">
        <v>1</v>
      </c>
      <c r="B358" t="s">
        <v>435</v>
      </c>
      <c r="C358" t="s">
        <v>500</v>
      </c>
      <c r="D358" t="s">
        <v>502</v>
      </c>
      <c r="E358">
        <v>26</v>
      </c>
      <c r="F358">
        <v>37.47</v>
      </c>
      <c r="G358">
        <v>36.277419354838713</v>
      </c>
      <c r="H358">
        <v>126.91</v>
      </c>
      <c r="I358">
        <v>0</v>
      </c>
      <c r="J358">
        <v>95.902903225806384</v>
      </c>
      <c r="K358">
        <v>9.8440704590140191E-2</v>
      </c>
    </row>
    <row r="359" spans="1:11" x14ac:dyDescent="0.3">
      <c r="A359" s="37">
        <v>1</v>
      </c>
      <c r="B359" t="s">
        <v>436</v>
      </c>
      <c r="C359" t="s">
        <v>500</v>
      </c>
      <c r="D359" t="s">
        <v>502</v>
      </c>
      <c r="E359">
        <v>26</v>
      </c>
      <c r="F359">
        <v>37.47</v>
      </c>
      <c r="G359">
        <v>36.19</v>
      </c>
      <c r="H359">
        <v>126.91</v>
      </c>
      <c r="I359">
        <v>0</v>
      </c>
      <c r="J359">
        <v>93.629999999999967</v>
      </c>
      <c r="K359">
        <v>9.6107655355053237E-2</v>
      </c>
    </row>
    <row r="360" spans="1:11" x14ac:dyDescent="0.3">
      <c r="A360" s="37">
        <v>1</v>
      </c>
      <c r="B360" t="s">
        <v>437</v>
      </c>
      <c r="C360" t="s">
        <v>500</v>
      </c>
      <c r="D360" t="s">
        <v>502</v>
      </c>
      <c r="E360">
        <v>26</v>
      </c>
      <c r="F360">
        <v>37.47</v>
      </c>
      <c r="G360">
        <v>36.236874999999998</v>
      </c>
      <c r="H360">
        <v>126.91</v>
      </c>
      <c r="I360">
        <v>0</v>
      </c>
      <c r="J360">
        <v>94.848749999999967</v>
      </c>
      <c r="K360">
        <v>9.7358656155693751E-2</v>
      </c>
    </row>
    <row r="361" spans="1:11" x14ac:dyDescent="0.3">
      <c r="A361" s="37">
        <v>1</v>
      </c>
      <c r="B361" t="s">
        <v>438</v>
      </c>
      <c r="C361" t="s">
        <v>500</v>
      </c>
      <c r="D361" t="s">
        <v>502</v>
      </c>
      <c r="E361">
        <v>26</v>
      </c>
      <c r="F361">
        <v>37.47</v>
      </c>
      <c r="G361">
        <v>36.283749999999998</v>
      </c>
      <c r="H361">
        <v>126.91</v>
      </c>
      <c r="I361">
        <v>0</v>
      </c>
      <c r="J361">
        <v>96.067499999999967</v>
      </c>
      <c r="K361">
        <v>9.8609656956334266E-2</v>
      </c>
    </row>
    <row r="362" spans="1:11" x14ac:dyDescent="0.3">
      <c r="A362" s="37">
        <v>1</v>
      </c>
      <c r="B362" t="s">
        <v>439</v>
      </c>
      <c r="C362" t="s">
        <v>500</v>
      </c>
      <c r="D362" t="s">
        <v>502</v>
      </c>
      <c r="E362">
        <v>26</v>
      </c>
      <c r="F362">
        <v>37.47</v>
      </c>
      <c r="G362">
        <v>36.330624999999998</v>
      </c>
      <c r="H362">
        <v>126.91</v>
      </c>
      <c r="I362">
        <v>0</v>
      </c>
      <c r="J362">
        <v>97.286249999999967</v>
      </c>
      <c r="K362">
        <v>9.986065775697478E-2</v>
      </c>
    </row>
    <row r="363" spans="1:11" x14ac:dyDescent="0.3">
      <c r="A363" s="37">
        <v>1</v>
      </c>
      <c r="B363" t="s">
        <v>440</v>
      </c>
      <c r="C363" t="s">
        <v>500</v>
      </c>
      <c r="D363" t="s">
        <v>502</v>
      </c>
      <c r="E363">
        <v>26</v>
      </c>
      <c r="F363">
        <v>37.47</v>
      </c>
      <c r="G363">
        <v>36.377499999999998</v>
      </c>
      <c r="H363">
        <v>126.91</v>
      </c>
      <c r="I363">
        <v>0</v>
      </c>
      <c r="J363">
        <v>98.504999999999967</v>
      </c>
      <c r="K363">
        <v>0.10111165855761529</v>
      </c>
    </row>
    <row r="364" spans="1:11" x14ac:dyDescent="0.3">
      <c r="A364" s="37">
        <v>1</v>
      </c>
      <c r="B364" t="s">
        <v>441</v>
      </c>
      <c r="C364" t="s">
        <v>500</v>
      </c>
      <c r="D364" t="s">
        <v>502</v>
      </c>
      <c r="E364">
        <v>26</v>
      </c>
      <c r="F364">
        <v>37.47</v>
      </c>
      <c r="G364">
        <v>36.424374999999998</v>
      </c>
      <c r="H364">
        <v>126.91</v>
      </c>
      <c r="I364">
        <v>0</v>
      </c>
      <c r="J364">
        <v>99.723749999999967</v>
      </c>
      <c r="K364">
        <v>0.10236265935825579</v>
      </c>
    </row>
    <row r="365" spans="1:11" x14ac:dyDescent="0.3">
      <c r="A365" s="37">
        <v>1</v>
      </c>
      <c r="B365" t="s">
        <v>442</v>
      </c>
      <c r="C365" t="s">
        <v>500</v>
      </c>
      <c r="D365" t="s">
        <v>502</v>
      </c>
      <c r="E365">
        <v>26</v>
      </c>
      <c r="F365">
        <v>37.47</v>
      </c>
      <c r="G365">
        <v>36.471249999999998</v>
      </c>
      <c r="H365">
        <v>126.91</v>
      </c>
      <c r="I365">
        <v>0</v>
      </c>
      <c r="J365">
        <v>100.9425</v>
      </c>
      <c r="K365">
        <v>0.1036136601588963</v>
      </c>
    </row>
    <row r="366" spans="1:11" x14ac:dyDescent="0.3">
      <c r="A366" s="37">
        <v>1</v>
      </c>
      <c r="B366" t="s">
        <v>443</v>
      </c>
      <c r="C366" t="s">
        <v>500</v>
      </c>
      <c r="D366" t="s">
        <v>502</v>
      </c>
      <c r="E366">
        <v>26</v>
      </c>
      <c r="F366">
        <v>37.47</v>
      </c>
      <c r="G366">
        <v>36.518124999999998</v>
      </c>
      <c r="H366">
        <v>126.91</v>
      </c>
      <c r="I366">
        <v>0</v>
      </c>
      <c r="J366">
        <v>102.16125</v>
      </c>
      <c r="K366">
        <v>0.1048646609595368</v>
      </c>
    </row>
    <row r="367" spans="1:11" x14ac:dyDescent="0.3">
      <c r="A367" s="37">
        <v>1</v>
      </c>
      <c r="B367" t="s">
        <v>444</v>
      </c>
      <c r="C367" t="s">
        <v>500</v>
      </c>
      <c r="D367" t="s">
        <v>502</v>
      </c>
      <c r="E367">
        <v>26</v>
      </c>
      <c r="F367">
        <v>37.47</v>
      </c>
      <c r="G367">
        <v>36.564999999999998</v>
      </c>
      <c r="H367">
        <v>126.91</v>
      </c>
      <c r="I367">
        <v>0</v>
      </c>
      <c r="J367">
        <v>103.38</v>
      </c>
      <c r="K367">
        <v>0.1061156617601773</v>
      </c>
    </row>
    <row r="368" spans="1:11" x14ac:dyDescent="0.3">
      <c r="A368" s="37">
        <v>1</v>
      </c>
      <c r="B368" t="s">
        <v>445</v>
      </c>
      <c r="C368" t="s">
        <v>500</v>
      </c>
      <c r="D368" t="s">
        <v>502</v>
      </c>
      <c r="E368">
        <v>26</v>
      </c>
      <c r="F368">
        <v>37.47</v>
      </c>
      <c r="G368">
        <v>36.611874999999998</v>
      </c>
      <c r="H368">
        <v>126.91</v>
      </c>
      <c r="I368">
        <v>0</v>
      </c>
      <c r="J368">
        <v>104.59875</v>
      </c>
      <c r="K368">
        <v>0.10736666256081789</v>
      </c>
    </row>
    <row r="369" spans="1:11" x14ac:dyDescent="0.3">
      <c r="A369" s="37">
        <v>1</v>
      </c>
      <c r="B369" t="s">
        <v>446</v>
      </c>
      <c r="C369" t="s">
        <v>500</v>
      </c>
      <c r="D369" t="s">
        <v>502</v>
      </c>
      <c r="E369">
        <v>26</v>
      </c>
      <c r="F369">
        <v>37.47</v>
      </c>
      <c r="G369">
        <v>36.658749999999998</v>
      </c>
      <c r="H369">
        <v>126.91</v>
      </c>
      <c r="I369">
        <v>0</v>
      </c>
      <c r="J369">
        <v>105.8175</v>
      </c>
      <c r="K369">
        <v>0.10861766336145839</v>
      </c>
    </row>
    <row r="370" spans="1:11" x14ac:dyDescent="0.3">
      <c r="A370" s="37">
        <v>1</v>
      </c>
      <c r="B370" t="s">
        <v>447</v>
      </c>
      <c r="C370" t="s">
        <v>500</v>
      </c>
      <c r="D370" t="s">
        <v>502</v>
      </c>
      <c r="E370">
        <v>26</v>
      </c>
      <c r="F370">
        <v>37.47</v>
      </c>
      <c r="G370">
        <v>36.705624999999998</v>
      </c>
      <c r="H370">
        <v>126.91</v>
      </c>
      <c r="I370">
        <v>0</v>
      </c>
      <c r="J370">
        <v>107.03625</v>
      </c>
      <c r="K370">
        <v>0.10986866416209889</v>
      </c>
    </row>
    <row r="371" spans="1:11" x14ac:dyDescent="0.3">
      <c r="A371" s="37">
        <v>1</v>
      </c>
      <c r="B371" t="s">
        <v>448</v>
      </c>
      <c r="C371" t="s">
        <v>500</v>
      </c>
      <c r="D371" t="s">
        <v>502</v>
      </c>
      <c r="E371">
        <v>26</v>
      </c>
      <c r="F371">
        <v>37.47</v>
      </c>
      <c r="G371">
        <v>36.752499999999998</v>
      </c>
      <c r="H371">
        <v>126.91</v>
      </c>
      <c r="I371">
        <v>0</v>
      </c>
      <c r="J371">
        <v>108.255</v>
      </c>
      <c r="K371">
        <v>0.1111196649627394</v>
      </c>
    </row>
    <row r="372" spans="1:11" x14ac:dyDescent="0.3">
      <c r="A372" s="37">
        <v>1</v>
      </c>
      <c r="B372" t="s">
        <v>449</v>
      </c>
      <c r="C372" t="s">
        <v>500</v>
      </c>
      <c r="D372" t="s">
        <v>502</v>
      </c>
      <c r="E372">
        <v>26</v>
      </c>
      <c r="F372">
        <v>37.47</v>
      </c>
      <c r="G372">
        <v>36.799374999999998</v>
      </c>
      <c r="H372">
        <v>126.91</v>
      </c>
      <c r="I372">
        <v>0</v>
      </c>
      <c r="J372">
        <v>109.47375</v>
      </c>
      <c r="K372">
        <v>0.1123706657633799</v>
      </c>
    </row>
    <row r="373" spans="1:11" x14ac:dyDescent="0.3">
      <c r="A373" s="37">
        <v>1</v>
      </c>
      <c r="B373" t="s">
        <v>450</v>
      </c>
      <c r="C373" t="s">
        <v>500</v>
      </c>
      <c r="D373" t="s">
        <v>502</v>
      </c>
      <c r="E373">
        <v>26</v>
      </c>
      <c r="F373">
        <v>37.47</v>
      </c>
      <c r="G373">
        <v>36.846249999999998</v>
      </c>
      <c r="H373">
        <v>126.91</v>
      </c>
      <c r="I373">
        <v>0</v>
      </c>
      <c r="J373">
        <v>110.6925</v>
      </c>
      <c r="K373">
        <v>0.1136216665640204</v>
      </c>
    </row>
    <row r="374" spans="1:11" x14ac:dyDescent="0.3">
      <c r="A374" s="37">
        <v>1</v>
      </c>
      <c r="B374" t="s">
        <v>451</v>
      </c>
      <c r="C374" t="s">
        <v>500</v>
      </c>
      <c r="D374" t="s">
        <v>502</v>
      </c>
      <c r="E374">
        <v>26</v>
      </c>
      <c r="F374">
        <v>37.47</v>
      </c>
      <c r="G374">
        <v>36.893124999999998</v>
      </c>
      <c r="H374">
        <v>126.91</v>
      </c>
      <c r="I374">
        <v>0</v>
      </c>
      <c r="J374">
        <v>111.91125</v>
      </c>
      <c r="K374">
        <v>0.1148726673646609</v>
      </c>
    </row>
    <row r="375" spans="1:11" x14ac:dyDescent="0.3">
      <c r="A375" s="37">
        <v>1</v>
      </c>
      <c r="B375" t="s">
        <v>452</v>
      </c>
      <c r="C375" t="s">
        <v>500</v>
      </c>
      <c r="D375" t="s">
        <v>502</v>
      </c>
      <c r="E375">
        <v>26</v>
      </c>
      <c r="F375">
        <v>37.47</v>
      </c>
      <c r="G375">
        <v>36.94</v>
      </c>
      <c r="H375">
        <v>126.91</v>
      </c>
      <c r="I375">
        <v>0</v>
      </c>
      <c r="J375">
        <v>113.13</v>
      </c>
      <c r="K375">
        <v>0.1161236681653014</v>
      </c>
    </row>
    <row r="376" spans="1:11" x14ac:dyDescent="0.3">
      <c r="A376" s="37">
        <v>1</v>
      </c>
      <c r="B376" t="s">
        <v>453</v>
      </c>
      <c r="C376" t="s">
        <v>500</v>
      </c>
      <c r="D376" t="s">
        <v>502</v>
      </c>
      <c r="E376">
        <v>26</v>
      </c>
      <c r="F376">
        <v>37.47</v>
      </c>
      <c r="G376">
        <v>36.986874999999998</v>
      </c>
      <c r="H376">
        <v>126.91</v>
      </c>
      <c r="I376">
        <v>0</v>
      </c>
      <c r="J376">
        <v>114.34875</v>
      </c>
      <c r="K376">
        <v>0.11737466896594199</v>
      </c>
    </row>
    <row r="377" spans="1:11" x14ac:dyDescent="0.3">
      <c r="A377" s="37">
        <v>1</v>
      </c>
      <c r="B377" t="s">
        <v>454</v>
      </c>
      <c r="C377" t="s">
        <v>500</v>
      </c>
      <c r="D377" t="s">
        <v>502</v>
      </c>
      <c r="E377">
        <v>26</v>
      </c>
      <c r="F377">
        <v>37.47</v>
      </c>
      <c r="G377">
        <v>37.033749999999998</v>
      </c>
      <c r="H377">
        <v>126.91</v>
      </c>
      <c r="I377">
        <v>0</v>
      </c>
      <c r="J377">
        <v>115.5675</v>
      </c>
      <c r="K377">
        <v>0.11862566976658249</v>
      </c>
    </row>
    <row r="378" spans="1:11" x14ac:dyDescent="0.3">
      <c r="A378" s="37">
        <v>1</v>
      </c>
      <c r="B378" t="s">
        <v>455</v>
      </c>
      <c r="C378" t="s">
        <v>500</v>
      </c>
      <c r="D378" t="s">
        <v>502</v>
      </c>
      <c r="E378">
        <v>26</v>
      </c>
      <c r="F378">
        <v>37.47</v>
      </c>
      <c r="G378">
        <v>37.080624999999998</v>
      </c>
      <c r="H378">
        <v>126.91</v>
      </c>
      <c r="I378">
        <v>0</v>
      </c>
      <c r="J378">
        <v>116.78625</v>
      </c>
      <c r="K378">
        <v>0.119876670567223</v>
      </c>
    </row>
    <row r="379" spans="1:11" x14ac:dyDescent="0.3">
      <c r="A379" s="37">
        <v>1</v>
      </c>
      <c r="B379" t="s">
        <v>456</v>
      </c>
      <c r="C379" t="s">
        <v>500</v>
      </c>
      <c r="D379" t="s">
        <v>502</v>
      </c>
      <c r="E379">
        <v>26</v>
      </c>
      <c r="F379">
        <v>37.47</v>
      </c>
      <c r="G379">
        <v>37.127499999999998</v>
      </c>
      <c r="H379">
        <v>126.91</v>
      </c>
      <c r="I379">
        <v>0</v>
      </c>
      <c r="J379">
        <v>118.005</v>
      </c>
      <c r="K379">
        <v>0.1211276713678635</v>
      </c>
    </row>
    <row r="380" spans="1:11" x14ac:dyDescent="0.3">
      <c r="A380" s="37">
        <v>1</v>
      </c>
      <c r="B380" t="s">
        <v>457</v>
      </c>
      <c r="C380" t="s">
        <v>500</v>
      </c>
      <c r="D380" t="s">
        <v>502</v>
      </c>
      <c r="E380">
        <v>26</v>
      </c>
      <c r="F380">
        <v>37.47</v>
      </c>
      <c r="G380">
        <v>37.174374999999998</v>
      </c>
      <c r="H380">
        <v>126.91</v>
      </c>
      <c r="I380">
        <v>0</v>
      </c>
      <c r="J380">
        <v>119.22375</v>
      </c>
      <c r="K380">
        <v>0.122378672168504</v>
      </c>
    </row>
    <row r="381" spans="1:11" x14ac:dyDescent="0.3">
      <c r="A381" s="37">
        <v>1</v>
      </c>
      <c r="B381" t="s">
        <v>458</v>
      </c>
      <c r="C381" t="s">
        <v>500</v>
      </c>
      <c r="D381" t="s">
        <v>502</v>
      </c>
      <c r="E381">
        <v>26</v>
      </c>
      <c r="F381">
        <v>37.47</v>
      </c>
      <c r="G381">
        <v>37.221249999999998</v>
      </c>
      <c r="H381">
        <v>126.91</v>
      </c>
      <c r="I381">
        <v>0</v>
      </c>
      <c r="J381">
        <v>120.4425</v>
      </c>
      <c r="K381">
        <v>0.1236296729691445</v>
      </c>
    </row>
    <row r="382" spans="1:11" x14ac:dyDescent="0.3">
      <c r="A382" s="37">
        <v>1</v>
      </c>
      <c r="B382" t="s">
        <v>459</v>
      </c>
      <c r="C382" t="s">
        <v>500</v>
      </c>
      <c r="D382" t="s">
        <v>502</v>
      </c>
      <c r="E382">
        <v>26</v>
      </c>
      <c r="F382">
        <v>37.47</v>
      </c>
      <c r="G382">
        <v>37.268124999999998</v>
      </c>
      <c r="H382">
        <v>126.91</v>
      </c>
      <c r="I382">
        <v>0</v>
      </c>
      <c r="J382">
        <v>121.66125</v>
      </c>
      <c r="K382">
        <v>0.124880673769785</v>
      </c>
    </row>
    <row r="383" spans="1:11" x14ac:dyDescent="0.3">
      <c r="A383" s="37">
        <v>1</v>
      </c>
      <c r="B383" t="s">
        <v>460</v>
      </c>
      <c r="C383" t="s">
        <v>500</v>
      </c>
      <c r="D383" t="s">
        <v>502</v>
      </c>
      <c r="E383">
        <v>26</v>
      </c>
      <c r="F383">
        <v>37.47</v>
      </c>
      <c r="G383">
        <v>37.314999999999998</v>
      </c>
      <c r="H383">
        <v>126.91</v>
      </c>
      <c r="I383">
        <v>0</v>
      </c>
      <c r="J383">
        <v>122.88</v>
      </c>
      <c r="K383">
        <v>0.12613167457042551</v>
      </c>
    </row>
    <row r="384" spans="1:11" x14ac:dyDescent="0.3">
      <c r="A384" s="37">
        <v>1</v>
      </c>
      <c r="B384" t="s">
        <v>461</v>
      </c>
      <c r="C384" t="s">
        <v>500</v>
      </c>
      <c r="D384" t="s">
        <v>502</v>
      </c>
      <c r="E384">
        <v>26</v>
      </c>
      <c r="F384">
        <v>37.47</v>
      </c>
      <c r="G384">
        <v>37.361874999999998</v>
      </c>
      <c r="H384">
        <v>126.91</v>
      </c>
      <c r="I384">
        <v>0</v>
      </c>
      <c r="J384">
        <v>124.09875</v>
      </c>
      <c r="K384">
        <v>0.12738267537106601</v>
      </c>
    </row>
    <row r="385" spans="1:11" x14ac:dyDescent="0.3">
      <c r="A385" s="37">
        <v>1</v>
      </c>
      <c r="B385" t="s">
        <v>462</v>
      </c>
      <c r="C385" t="s">
        <v>500</v>
      </c>
      <c r="D385" t="s">
        <v>502</v>
      </c>
      <c r="E385">
        <v>26</v>
      </c>
      <c r="F385">
        <v>37.47</v>
      </c>
      <c r="G385">
        <v>37.408749999999998</v>
      </c>
      <c r="H385">
        <v>126.91</v>
      </c>
      <c r="I385">
        <v>0</v>
      </c>
      <c r="J385">
        <v>125.3175</v>
      </c>
      <c r="K385">
        <v>0.1286336761717066</v>
      </c>
    </row>
    <row r="386" spans="1:11" x14ac:dyDescent="0.3">
      <c r="A386" s="37">
        <v>1</v>
      </c>
      <c r="B386" t="s">
        <v>463</v>
      </c>
      <c r="C386" t="s">
        <v>500</v>
      </c>
      <c r="D386" t="s">
        <v>502</v>
      </c>
      <c r="E386">
        <v>26</v>
      </c>
      <c r="F386">
        <v>37.47</v>
      </c>
      <c r="G386">
        <v>37.455624999999998</v>
      </c>
      <c r="H386">
        <v>126.91</v>
      </c>
      <c r="I386">
        <v>0</v>
      </c>
      <c r="J386">
        <v>126.53625</v>
      </c>
      <c r="K386">
        <v>0.1298846769723471</v>
      </c>
    </row>
    <row r="387" spans="1:11" x14ac:dyDescent="0.3">
      <c r="A387" s="37">
        <v>1</v>
      </c>
      <c r="B387" t="s">
        <v>464</v>
      </c>
      <c r="C387" t="s">
        <v>500</v>
      </c>
      <c r="D387" t="s">
        <v>502</v>
      </c>
      <c r="E387">
        <v>26</v>
      </c>
      <c r="F387">
        <v>37.47</v>
      </c>
      <c r="G387">
        <v>37.502499999999998</v>
      </c>
      <c r="H387">
        <v>126.91</v>
      </c>
      <c r="I387">
        <v>0</v>
      </c>
      <c r="J387">
        <v>127.755</v>
      </c>
      <c r="K387">
        <v>0.1311356777729876</v>
      </c>
    </row>
    <row r="388" spans="1:11" x14ac:dyDescent="0.3">
      <c r="A388" s="37">
        <v>1</v>
      </c>
      <c r="B388" t="s">
        <v>465</v>
      </c>
      <c r="C388" t="s">
        <v>500</v>
      </c>
      <c r="D388" t="s">
        <v>502</v>
      </c>
      <c r="E388">
        <v>26</v>
      </c>
      <c r="F388">
        <v>37.47</v>
      </c>
      <c r="G388">
        <v>37.549374999999998</v>
      </c>
      <c r="H388">
        <v>126.91</v>
      </c>
      <c r="I388">
        <v>0</v>
      </c>
      <c r="J388">
        <v>128.97375</v>
      </c>
      <c r="K388">
        <v>0.1323866785736281</v>
      </c>
    </row>
    <row r="389" spans="1:11" x14ac:dyDescent="0.3">
      <c r="A389" s="37">
        <v>1</v>
      </c>
      <c r="B389" t="s">
        <v>466</v>
      </c>
      <c r="C389" t="s">
        <v>500</v>
      </c>
      <c r="D389" t="s">
        <v>502</v>
      </c>
      <c r="E389">
        <v>26</v>
      </c>
      <c r="F389">
        <v>37.47</v>
      </c>
      <c r="G389">
        <v>37.596249999999998</v>
      </c>
      <c r="H389">
        <v>126.91</v>
      </c>
      <c r="I389">
        <v>0</v>
      </c>
      <c r="J389">
        <v>130.1925</v>
      </c>
      <c r="K389">
        <v>0.1336376793742686</v>
      </c>
    </row>
    <row r="390" spans="1:11" x14ac:dyDescent="0.3">
      <c r="A390" s="37">
        <v>1</v>
      </c>
      <c r="B390" t="s">
        <v>467</v>
      </c>
      <c r="C390" t="s">
        <v>500</v>
      </c>
      <c r="D390" t="s">
        <v>502</v>
      </c>
      <c r="E390">
        <v>26</v>
      </c>
      <c r="F390">
        <v>37.47</v>
      </c>
      <c r="G390">
        <v>37.643124999999998</v>
      </c>
      <c r="H390">
        <v>126.91</v>
      </c>
      <c r="I390">
        <v>0</v>
      </c>
      <c r="J390">
        <v>131.41125</v>
      </c>
      <c r="K390">
        <v>0.1348886801749091</v>
      </c>
    </row>
    <row r="391" spans="1:11" x14ac:dyDescent="0.3">
      <c r="A391" s="37">
        <v>1</v>
      </c>
      <c r="B391" t="s">
        <v>468</v>
      </c>
      <c r="C391" t="s">
        <v>500</v>
      </c>
      <c r="D391" t="s">
        <v>502</v>
      </c>
      <c r="E391">
        <v>26</v>
      </c>
      <c r="F391">
        <v>37.47</v>
      </c>
      <c r="G391">
        <v>37.69</v>
      </c>
      <c r="H391">
        <v>126.91</v>
      </c>
      <c r="I391">
        <v>0</v>
      </c>
      <c r="J391">
        <v>132.63</v>
      </c>
      <c r="K391">
        <v>0.1361396809755496</v>
      </c>
    </row>
    <row r="392" spans="1:11" x14ac:dyDescent="0.3">
      <c r="A392" s="37">
        <v>1</v>
      </c>
      <c r="B392" t="s">
        <v>469</v>
      </c>
      <c r="C392" t="s">
        <v>500</v>
      </c>
      <c r="D392" t="s">
        <v>502</v>
      </c>
      <c r="E392">
        <v>26</v>
      </c>
      <c r="F392">
        <v>37.47</v>
      </c>
      <c r="G392">
        <v>37.723333333333329</v>
      </c>
      <c r="H392">
        <v>126.91</v>
      </c>
      <c r="I392">
        <v>0</v>
      </c>
      <c r="J392">
        <v>133.49666666666661</v>
      </c>
      <c r="K392">
        <v>0.13702928154489391</v>
      </c>
    </row>
    <row r="393" spans="1:11" x14ac:dyDescent="0.3">
      <c r="A393" s="37">
        <v>1</v>
      </c>
      <c r="B393" t="s">
        <v>470</v>
      </c>
      <c r="C393" t="s">
        <v>500</v>
      </c>
      <c r="D393" t="s">
        <v>502</v>
      </c>
      <c r="E393">
        <v>26</v>
      </c>
      <c r="F393">
        <v>37.47</v>
      </c>
      <c r="G393">
        <v>37.756666666666668</v>
      </c>
      <c r="H393">
        <v>126.91</v>
      </c>
      <c r="I393">
        <v>0</v>
      </c>
      <c r="J393">
        <v>134.3633333333334</v>
      </c>
      <c r="K393">
        <v>0.1379188821142385</v>
      </c>
    </row>
    <row r="394" spans="1:11" x14ac:dyDescent="0.3">
      <c r="A394" s="37">
        <v>1</v>
      </c>
      <c r="B394" t="s">
        <v>471</v>
      </c>
      <c r="C394" t="s">
        <v>500</v>
      </c>
      <c r="D394" t="s">
        <v>502</v>
      </c>
      <c r="E394">
        <v>26</v>
      </c>
      <c r="F394">
        <v>37.47</v>
      </c>
      <c r="G394">
        <v>37.79</v>
      </c>
      <c r="H394">
        <v>126.91</v>
      </c>
      <c r="I394">
        <v>0</v>
      </c>
      <c r="J394">
        <v>135.22999999999999</v>
      </c>
      <c r="K394">
        <v>0.13880848268358281</v>
      </c>
    </row>
    <row r="395" spans="1:11" x14ac:dyDescent="0.3">
      <c r="A395" s="37">
        <v>1</v>
      </c>
      <c r="B395" t="s">
        <v>472</v>
      </c>
      <c r="C395" t="s">
        <v>500</v>
      </c>
      <c r="D395" t="s">
        <v>502</v>
      </c>
      <c r="E395">
        <v>26</v>
      </c>
      <c r="F395">
        <v>37.47</v>
      </c>
      <c r="G395">
        <v>37.823333333333331</v>
      </c>
      <c r="H395">
        <v>126.91</v>
      </c>
      <c r="I395">
        <v>0</v>
      </c>
      <c r="J395">
        <v>136.09666666666661</v>
      </c>
      <c r="K395">
        <v>0.1396980832529271</v>
      </c>
    </row>
    <row r="396" spans="1:11" x14ac:dyDescent="0.3">
      <c r="A396" s="37">
        <v>1</v>
      </c>
      <c r="B396" t="s">
        <v>473</v>
      </c>
      <c r="C396" t="s">
        <v>500</v>
      </c>
      <c r="D396" t="s">
        <v>502</v>
      </c>
      <c r="E396">
        <v>26</v>
      </c>
      <c r="F396">
        <v>37.47</v>
      </c>
      <c r="G396">
        <v>37.856666666666662</v>
      </c>
      <c r="H396">
        <v>126.91</v>
      </c>
      <c r="I396">
        <v>0</v>
      </c>
      <c r="J396">
        <v>136.96333333333331</v>
      </c>
      <c r="K396">
        <v>0.14058768382227141</v>
      </c>
    </row>
    <row r="397" spans="1:11" x14ac:dyDescent="0.3">
      <c r="A397" s="37">
        <v>1</v>
      </c>
      <c r="B397" t="s">
        <v>474</v>
      </c>
      <c r="C397" t="s">
        <v>500</v>
      </c>
      <c r="D397" t="s">
        <v>502</v>
      </c>
      <c r="E397">
        <v>26</v>
      </c>
      <c r="F397">
        <v>37.47</v>
      </c>
      <c r="G397">
        <v>37.89</v>
      </c>
      <c r="H397">
        <v>126.91</v>
      </c>
      <c r="I397">
        <v>0</v>
      </c>
      <c r="J397">
        <v>137.83000000000001</v>
      </c>
      <c r="K397">
        <v>0.14147728439161589</v>
      </c>
    </row>
    <row r="398" spans="1:11" x14ac:dyDescent="0.3">
      <c r="A398" s="37">
        <v>1</v>
      </c>
      <c r="B398" t="s">
        <v>475</v>
      </c>
      <c r="C398" t="s">
        <v>500</v>
      </c>
      <c r="D398" t="s">
        <v>502</v>
      </c>
      <c r="E398">
        <v>26</v>
      </c>
      <c r="F398">
        <v>37.47</v>
      </c>
      <c r="G398">
        <v>37.923333333333332</v>
      </c>
      <c r="H398">
        <v>126.91</v>
      </c>
      <c r="I398">
        <v>0</v>
      </c>
      <c r="J398">
        <v>138.69666666666669</v>
      </c>
      <c r="K398">
        <v>0.1423668849609602</v>
      </c>
    </row>
    <row r="399" spans="1:11" x14ac:dyDescent="0.3">
      <c r="A399" s="37">
        <v>1</v>
      </c>
      <c r="B399" t="s">
        <v>476</v>
      </c>
      <c r="C399" t="s">
        <v>500</v>
      </c>
      <c r="D399" t="s">
        <v>502</v>
      </c>
      <c r="E399">
        <v>26</v>
      </c>
      <c r="F399">
        <v>37.47</v>
      </c>
      <c r="G399">
        <v>37.956666666666663</v>
      </c>
      <c r="H399">
        <v>126.91</v>
      </c>
      <c r="I399">
        <v>0</v>
      </c>
      <c r="J399">
        <v>139.5633333333333</v>
      </c>
      <c r="K399">
        <v>0.14325648553030451</v>
      </c>
    </row>
    <row r="400" spans="1:11" x14ac:dyDescent="0.3">
      <c r="A400" s="37">
        <v>1</v>
      </c>
      <c r="B400" t="s">
        <v>477</v>
      </c>
      <c r="C400" t="s">
        <v>500</v>
      </c>
      <c r="D400" t="s">
        <v>502</v>
      </c>
      <c r="E400">
        <v>26</v>
      </c>
      <c r="F400">
        <v>37.47</v>
      </c>
      <c r="G400">
        <v>37.99</v>
      </c>
      <c r="H400">
        <v>126.91</v>
      </c>
      <c r="I400">
        <v>0</v>
      </c>
      <c r="J400">
        <v>140.43000000000009</v>
      </c>
      <c r="K400">
        <v>0.14414608609964899</v>
      </c>
    </row>
    <row r="401" spans="1:11" x14ac:dyDescent="0.3">
      <c r="A401" s="37">
        <v>1</v>
      </c>
      <c r="B401" t="s">
        <v>478</v>
      </c>
      <c r="C401" t="s">
        <v>500</v>
      </c>
      <c r="D401" t="s">
        <v>502</v>
      </c>
      <c r="E401">
        <v>26</v>
      </c>
      <c r="F401">
        <v>37.47</v>
      </c>
      <c r="G401">
        <v>38.023333333333333</v>
      </c>
      <c r="H401">
        <v>126.91</v>
      </c>
      <c r="I401">
        <v>0</v>
      </c>
      <c r="J401">
        <v>141.29666666666671</v>
      </c>
      <c r="K401">
        <v>0.1450356866689933</v>
      </c>
    </row>
    <row r="402" spans="1:11" x14ac:dyDescent="0.3">
      <c r="A402" s="37">
        <v>1</v>
      </c>
      <c r="B402" t="s">
        <v>479</v>
      </c>
      <c r="C402" t="s">
        <v>500</v>
      </c>
      <c r="D402" t="s">
        <v>502</v>
      </c>
      <c r="E402">
        <v>26</v>
      </c>
      <c r="F402">
        <v>37.47</v>
      </c>
      <c r="G402">
        <v>38.056666666666658</v>
      </c>
      <c r="H402">
        <v>126.91</v>
      </c>
      <c r="I402">
        <v>0</v>
      </c>
      <c r="J402">
        <v>142.1633333333333</v>
      </c>
      <c r="K402">
        <v>0.14592528723833759</v>
      </c>
    </row>
    <row r="403" spans="1:11" x14ac:dyDescent="0.3">
      <c r="A403" s="37">
        <v>1</v>
      </c>
      <c r="B403" t="s">
        <v>480</v>
      </c>
      <c r="C403" t="s">
        <v>500</v>
      </c>
      <c r="D403" t="s">
        <v>502</v>
      </c>
      <c r="E403">
        <v>26</v>
      </c>
      <c r="F403">
        <v>37.47</v>
      </c>
      <c r="G403">
        <v>38.090000000000003</v>
      </c>
      <c r="H403">
        <v>126.91</v>
      </c>
      <c r="I403">
        <v>0</v>
      </c>
      <c r="J403">
        <v>143.02999999999989</v>
      </c>
      <c r="K403">
        <v>0.14681488780768201</v>
      </c>
    </row>
    <row r="404" spans="1:11" x14ac:dyDescent="0.3">
      <c r="A404" s="37">
        <v>1</v>
      </c>
      <c r="B404" t="s">
        <v>481</v>
      </c>
      <c r="C404" t="s">
        <v>500</v>
      </c>
      <c r="D404" t="s">
        <v>502</v>
      </c>
      <c r="E404">
        <v>26</v>
      </c>
      <c r="F404">
        <v>37.47</v>
      </c>
      <c r="G404">
        <v>38.123333333333328</v>
      </c>
      <c r="H404">
        <v>126.91</v>
      </c>
      <c r="I404">
        <v>0</v>
      </c>
      <c r="J404">
        <v>143.8966666666667</v>
      </c>
      <c r="K404">
        <v>0.14770448837702649</v>
      </c>
    </row>
    <row r="405" spans="1:11" x14ac:dyDescent="0.3">
      <c r="A405" s="37">
        <v>1</v>
      </c>
      <c r="B405" t="s">
        <v>482</v>
      </c>
      <c r="C405" t="s">
        <v>500</v>
      </c>
      <c r="D405" t="s">
        <v>502</v>
      </c>
      <c r="E405">
        <v>26</v>
      </c>
      <c r="F405">
        <v>37.47</v>
      </c>
      <c r="G405">
        <v>38.156666666666673</v>
      </c>
      <c r="H405">
        <v>126.91</v>
      </c>
      <c r="I405">
        <v>0</v>
      </c>
      <c r="J405">
        <v>144.76333333333329</v>
      </c>
      <c r="K405">
        <v>0.1485940889463708</v>
      </c>
    </row>
    <row r="406" spans="1:11" x14ac:dyDescent="0.3">
      <c r="A406" s="37">
        <v>1</v>
      </c>
      <c r="B406" t="s">
        <v>483</v>
      </c>
      <c r="C406" t="s">
        <v>500</v>
      </c>
      <c r="D406" t="s">
        <v>502</v>
      </c>
      <c r="E406">
        <v>26</v>
      </c>
      <c r="F406">
        <v>37.47</v>
      </c>
      <c r="G406">
        <v>38.19</v>
      </c>
      <c r="H406">
        <v>126.91</v>
      </c>
      <c r="I406">
        <v>0</v>
      </c>
      <c r="J406">
        <v>145.63</v>
      </c>
      <c r="K406">
        <v>0.14948368951571511</v>
      </c>
    </row>
    <row r="407" spans="1:11" x14ac:dyDescent="0.3">
      <c r="A407" s="37">
        <v>1</v>
      </c>
      <c r="B407" t="s">
        <v>484</v>
      </c>
      <c r="C407" t="s">
        <v>500</v>
      </c>
      <c r="D407" t="s">
        <v>502</v>
      </c>
      <c r="E407">
        <v>26</v>
      </c>
      <c r="F407">
        <v>37.47</v>
      </c>
      <c r="G407">
        <v>38.223333333333343</v>
      </c>
      <c r="H407">
        <v>126.91</v>
      </c>
      <c r="I407">
        <v>0</v>
      </c>
      <c r="J407">
        <v>146.49666666666681</v>
      </c>
      <c r="K407">
        <v>0.15037329008505959</v>
      </c>
    </row>
    <row r="408" spans="1:11" x14ac:dyDescent="0.3">
      <c r="A408" s="37">
        <v>1</v>
      </c>
      <c r="B408" t="s">
        <v>485</v>
      </c>
      <c r="C408" t="s">
        <v>500</v>
      </c>
      <c r="D408" t="s">
        <v>502</v>
      </c>
      <c r="E408">
        <v>26</v>
      </c>
      <c r="F408">
        <v>37.47</v>
      </c>
      <c r="G408">
        <v>38.256666666666668</v>
      </c>
      <c r="H408">
        <v>126.91</v>
      </c>
      <c r="I408">
        <v>0</v>
      </c>
      <c r="J408">
        <v>147.3633333333334</v>
      </c>
      <c r="K408">
        <v>0.1512628906544039</v>
      </c>
    </row>
    <row r="409" spans="1:11" x14ac:dyDescent="0.3">
      <c r="A409" s="37">
        <v>1</v>
      </c>
      <c r="B409" t="s">
        <v>486</v>
      </c>
      <c r="C409" t="s">
        <v>500</v>
      </c>
      <c r="D409" t="s">
        <v>502</v>
      </c>
      <c r="E409">
        <v>26</v>
      </c>
      <c r="F409">
        <v>37.47</v>
      </c>
      <c r="G409">
        <v>38.29</v>
      </c>
      <c r="H409">
        <v>126.91</v>
      </c>
      <c r="I409">
        <v>0</v>
      </c>
      <c r="J409">
        <v>148.22999999999999</v>
      </c>
      <c r="K409">
        <v>0.15215249122374819</v>
      </c>
    </row>
    <row r="410" spans="1:11" x14ac:dyDescent="0.3">
      <c r="A410" s="37">
        <v>1</v>
      </c>
      <c r="B410" t="s">
        <v>487</v>
      </c>
      <c r="C410" t="s">
        <v>500</v>
      </c>
      <c r="D410" t="s">
        <v>502</v>
      </c>
      <c r="E410">
        <v>26</v>
      </c>
      <c r="F410">
        <v>37.47</v>
      </c>
      <c r="G410">
        <v>38.323333333333331</v>
      </c>
      <c r="H410">
        <v>126.91</v>
      </c>
      <c r="I410">
        <v>0</v>
      </c>
      <c r="J410">
        <v>149.09666666666661</v>
      </c>
      <c r="K410">
        <v>0.15304209179309261</v>
      </c>
    </row>
    <row r="411" spans="1:11" x14ac:dyDescent="0.3">
      <c r="A411" s="37">
        <v>1</v>
      </c>
      <c r="B411" t="s">
        <v>488</v>
      </c>
      <c r="C411" t="s">
        <v>500</v>
      </c>
      <c r="D411" t="s">
        <v>502</v>
      </c>
      <c r="E411">
        <v>26</v>
      </c>
      <c r="F411">
        <v>37.47</v>
      </c>
      <c r="G411">
        <v>38.356666666666669</v>
      </c>
      <c r="H411">
        <v>126.91</v>
      </c>
      <c r="I411">
        <v>0</v>
      </c>
      <c r="J411">
        <v>149.9633333333334</v>
      </c>
      <c r="K411">
        <v>0.15393169236243701</v>
      </c>
    </row>
    <row r="412" spans="1:11" x14ac:dyDescent="0.3">
      <c r="A412" s="37">
        <v>1</v>
      </c>
      <c r="B412" t="s">
        <v>489</v>
      </c>
      <c r="C412" t="s">
        <v>500</v>
      </c>
      <c r="D412" t="s">
        <v>502</v>
      </c>
      <c r="E412">
        <v>26</v>
      </c>
      <c r="F412">
        <v>37.47</v>
      </c>
      <c r="G412">
        <v>38.39</v>
      </c>
      <c r="H412">
        <v>126.91</v>
      </c>
      <c r="I412">
        <v>0</v>
      </c>
      <c r="J412">
        <v>150.83000000000001</v>
      </c>
      <c r="K412">
        <v>0.1548212929317814</v>
      </c>
    </row>
    <row r="413" spans="1:11" x14ac:dyDescent="0.3">
      <c r="A413" s="37">
        <v>1</v>
      </c>
      <c r="B413" t="s">
        <v>490</v>
      </c>
      <c r="C413" t="s">
        <v>500</v>
      </c>
      <c r="D413" t="s">
        <v>502</v>
      </c>
      <c r="E413">
        <v>26</v>
      </c>
      <c r="F413">
        <v>37.47</v>
      </c>
      <c r="G413">
        <v>38.39</v>
      </c>
      <c r="H413">
        <v>126.91</v>
      </c>
      <c r="I413">
        <v>0</v>
      </c>
      <c r="J413">
        <v>150.83000000000001</v>
      </c>
      <c r="K413">
        <v>0.1548212929317814</v>
      </c>
    </row>
    <row r="414" spans="1:11" x14ac:dyDescent="0.3">
      <c r="A414" s="37">
        <v>1</v>
      </c>
      <c r="B414" t="s">
        <v>491</v>
      </c>
      <c r="C414" t="s">
        <v>500</v>
      </c>
      <c r="D414" t="s">
        <v>502</v>
      </c>
      <c r="E414">
        <v>26</v>
      </c>
      <c r="F414">
        <v>37.47</v>
      </c>
      <c r="G414">
        <v>38.39</v>
      </c>
      <c r="H414">
        <v>126.91</v>
      </c>
      <c r="I414">
        <v>0</v>
      </c>
      <c r="J414">
        <v>150.83000000000001</v>
      </c>
      <c r="K414">
        <v>0.1548212929317814</v>
      </c>
    </row>
    <row r="415" spans="1:11" x14ac:dyDescent="0.3">
      <c r="A415" s="37">
        <v>1</v>
      </c>
      <c r="B415" t="s">
        <v>492</v>
      </c>
      <c r="C415" t="s">
        <v>500</v>
      </c>
      <c r="D415" t="s">
        <v>502</v>
      </c>
      <c r="E415">
        <v>26</v>
      </c>
      <c r="F415">
        <v>37.47</v>
      </c>
      <c r="G415">
        <v>38.39</v>
      </c>
      <c r="H415">
        <v>126.91</v>
      </c>
      <c r="I415">
        <v>0</v>
      </c>
      <c r="J415">
        <v>150.83000000000001</v>
      </c>
      <c r="K415">
        <v>0.1548212929317814</v>
      </c>
    </row>
    <row r="416" spans="1:11" x14ac:dyDescent="0.3">
      <c r="A416" s="37">
        <v>1</v>
      </c>
      <c r="B416" t="s">
        <v>187</v>
      </c>
      <c r="C416" t="s">
        <v>500</v>
      </c>
      <c r="D416" t="s">
        <v>502</v>
      </c>
      <c r="E416">
        <v>56</v>
      </c>
      <c r="F416">
        <v>24.94</v>
      </c>
      <c r="G416">
        <v>31.84424242424242</v>
      </c>
      <c r="H416">
        <v>54.489999999999988</v>
      </c>
      <c r="I416">
        <v>0</v>
      </c>
      <c r="J416">
        <v>441.12757575757558</v>
      </c>
      <c r="K416">
        <v>0.31584916353360609</v>
      </c>
    </row>
    <row r="417" spans="1:11" x14ac:dyDescent="0.3">
      <c r="A417" s="37">
        <v>1</v>
      </c>
      <c r="B417" t="s">
        <v>188</v>
      </c>
      <c r="C417" t="s">
        <v>500</v>
      </c>
      <c r="D417" t="s">
        <v>502</v>
      </c>
      <c r="E417">
        <v>56</v>
      </c>
      <c r="F417">
        <v>24.94</v>
      </c>
      <c r="G417">
        <v>30.959393939393941</v>
      </c>
      <c r="H417">
        <v>54.489999999999988</v>
      </c>
      <c r="I417">
        <v>0</v>
      </c>
      <c r="J417">
        <v>391.57606060606071</v>
      </c>
      <c r="K417">
        <v>0.28037007432556749</v>
      </c>
    </row>
    <row r="418" spans="1:11" x14ac:dyDescent="0.3">
      <c r="A418" s="37">
        <v>1</v>
      </c>
      <c r="B418" t="s">
        <v>189</v>
      </c>
      <c r="C418" t="s">
        <v>500</v>
      </c>
      <c r="D418" t="s">
        <v>502</v>
      </c>
      <c r="E418">
        <v>56</v>
      </c>
      <c r="F418">
        <v>24.94</v>
      </c>
      <c r="G418">
        <v>30.074545454545451</v>
      </c>
      <c r="H418">
        <v>54.489999999999988</v>
      </c>
      <c r="I418">
        <v>0</v>
      </c>
      <c r="J418">
        <v>342.02454545454538</v>
      </c>
      <c r="K418">
        <v>0.24489098511752869</v>
      </c>
    </row>
    <row r="419" spans="1:11" x14ac:dyDescent="0.3">
      <c r="A419" s="37">
        <v>1</v>
      </c>
      <c r="B419" t="s">
        <v>190</v>
      </c>
      <c r="C419" t="s">
        <v>500</v>
      </c>
      <c r="D419" t="s">
        <v>502</v>
      </c>
      <c r="E419">
        <v>56</v>
      </c>
      <c r="F419">
        <v>24.94</v>
      </c>
      <c r="G419">
        <v>29.189696969696971</v>
      </c>
      <c r="H419">
        <v>54.489999999999988</v>
      </c>
      <c r="I419">
        <v>0</v>
      </c>
      <c r="J419">
        <v>292.4730303030301</v>
      </c>
      <c r="K419">
        <v>0.20941189590949</v>
      </c>
    </row>
    <row r="420" spans="1:11" x14ac:dyDescent="0.3">
      <c r="A420" s="37">
        <v>1</v>
      </c>
      <c r="B420" t="s">
        <v>191</v>
      </c>
      <c r="C420" t="s">
        <v>500</v>
      </c>
      <c r="D420" t="s">
        <v>502</v>
      </c>
      <c r="E420">
        <v>56</v>
      </c>
      <c r="F420">
        <v>24.94</v>
      </c>
      <c r="G420">
        <v>28.304848484848481</v>
      </c>
      <c r="H420">
        <v>54.489999999999988</v>
      </c>
      <c r="I420">
        <v>0</v>
      </c>
      <c r="J420">
        <v>242.92151515151511</v>
      </c>
      <c r="K420">
        <v>0.17393280670145139</v>
      </c>
    </row>
    <row r="421" spans="1:11" x14ac:dyDescent="0.3">
      <c r="A421" s="37">
        <v>1</v>
      </c>
      <c r="B421" t="s">
        <v>192</v>
      </c>
      <c r="C421" t="s">
        <v>500</v>
      </c>
      <c r="D421" t="s">
        <v>502</v>
      </c>
      <c r="E421">
        <v>56</v>
      </c>
      <c r="F421">
        <v>24.94</v>
      </c>
      <c r="G421">
        <v>27.42</v>
      </c>
      <c r="H421">
        <v>54.489999999999988</v>
      </c>
      <c r="I421">
        <v>0</v>
      </c>
      <c r="J421">
        <v>193.37</v>
      </c>
      <c r="K421">
        <v>0.13845371749341279</v>
      </c>
    </row>
    <row r="422" spans="1:11" x14ac:dyDescent="0.3">
      <c r="A422" s="37">
        <v>1</v>
      </c>
      <c r="B422" t="s">
        <v>193</v>
      </c>
      <c r="C422" t="s">
        <v>500</v>
      </c>
      <c r="D422" t="s">
        <v>502</v>
      </c>
      <c r="E422">
        <v>56</v>
      </c>
      <c r="F422">
        <v>24.94</v>
      </c>
      <c r="G422">
        <v>27.410322580645161</v>
      </c>
      <c r="H422">
        <v>54.489999999999988</v>
      </c>
      <c r="I422">
        <v>0</v>
      </c>
      <c r="J422">
        <v>192.8280645161291</v>
      </c>
      <c r="K422">
        <v>0.13806568945191969</v>
      </c>
    </row>
    <row r="423" spans="1:11" x14ac:dyDescent="0.3">
      <c r="A423" s="37">
        <v>1</v>
      </c>
      <c r="B423" t="s">
        <v>194</v>
      </c>
      <c r="C423" t="s">
        <v>500</v>
      </c>
      <c r="D423" t="s">
        <v>502</v>
      </c>
      <c r="E423">
        <v>56</v>
      </c>
      <c r="F423">
        <v>24.94</v>
      </c>
      <c r="G423">
        <v>27.400645161290321</v>
      </c>
      <c r="H423">
        <v>54.489999999999988</v>
      </c>
      <c r="I423">
        <v>0</v>
      </c>
      <c r="J423">
        <v>192.28612903225809</v>
      </c>
      <c r="K423">
        <v>0.13767766141042651</v>
      </c>
    </row>
    <row r="424" spans="1:11" x14ac:dyDescent="0.3">
      <c r="A424" s="37">
        <v>1</v>
      </c>
      <c r="B424" t="s">
        <v>195</v>
      </c>
      <c r="C424" t="s">
        <v>500</v>
      </c>
      <c r="D424" t="s">
        <v>502</v>
      </c>
      <c r="E424">
        <v>56</v>
      </c>
      <c r="F424">
        <v>24.94</v>
      </c>
      <c r="G424">
        <v>27.390967741935491</v>
      </c>
      <c r="H424">
        <v>54.489999999999988</v>
      </c>
      <c r="I424">
        <v>0</v>
      </c>
      <c r="J424">
        <v>191.74419354838719</v>
      </c>
      <c r="K424">
        <v>0.13728963336893341</v>
      </c>
    </row>
    <row r="425" spans="1:11" x14ac:dyDescent="0.3">
      <c r="A425" s="37">
        <v>1</v>
      </c>
      <c r="B425" t="s">
        <v>196</v>
      </c>
      <c r="C425" t="s">
        <v>500</v>
      </c>
      <c r="D425" t="s">
        <v>502</v>
      </c>
      <c r="E425">
        <v>56</v>
      </c>
      <c r="F425">
        <v>24.94</v>
      </c>
      <c r="G425">
        <v>27.38129032258065</v>
      </c>
      <c r="H425">
        <v>54.489999999999988</v>
      </c>
      <c r="I425">
        <v>0</v>
      </c>
      <c r="J425">
        <v>191.20225806451609</v>
      </c>
      <c r="K425">
        <v>0.1369016053274402</v>
      </c>
    </row>
    <row r="426" spans="1:11" x14ac:dyDescent="0.3">
      <c r="A426" s="37">
        <v>1</v>
      </c>
      <c r="B426" t="s">
        <v>197</v>
      </c>
      <c r="C426" t="s">
        <v>500</v>
      </c>
      <c r="D426" t="s">
        <v>502</v>
      </c>
      <c r="E426">
        <v>56</v>
      </c>
      <c r="F426">
        <v>24.94</v>
      </c>
      <c r="G426">
        <v>27.37161290322581</v>
      </c>
      <c r="H426">
        <v>54.489999999999988</v>
      </c>
      <c r="I426">
        <v>0</v>
      </c>
      <c r="J426">
        <v>190.66032258064519</v>
      </c>
      <c r="K426">
        <v>0.13651357728594721</v>
      </c>
    </row>
    <row r="427" spans="1:11" x14ac:dyDescent="0.3">
      <c r="A427" s="37">
        <v>1</v>
      </c>
      <c r="B427" t="s">
        <v>198</v>
      </c>
      <c r="C427" t="s">
        <v>500</v>
      </c>
      <c r="D427" t="s">
        <v>502</v>
      </c>
      <c r="E427">
        <v>56</v>
      </c>
      <c r="F427">
        <v>24.94</v>
      </c>
      <c r="G427">
        <v>27.361935483870969</v>
      </c>
      <c r="H427">
        <v>54.489999999999988</v>
      </c>
      <c r="I427">
        <v>0</v>
      </c>
      <c r="J427">
        <v>190.1183870967742</v>
      </c>
      <c r="K427">
        <v>0.136125549244454</v>
      </c>
    </row>
    <row r="428" spans="1:11" x14ac:dyDescent="0.3">
      <c r="A428" s="37">
        <v>1</v>
      </c>
      <c r="B428" t="s">
        <v>199</v>
      </c>
      <c r="C428" t="s">
        <v>500</v>
      </c>
      <c r="D428" t="s">
        <v>502</v>
      </c>
      <c r="E428">
        <v>56</v>
      </c>
      <c r="F428">
        <v>24.94</v>
      </c>
      <c r="G428">
        <v>27.352258064516128</v>
      </c>
      <c r="H428">
        <v>54.489999999999988</v>
      </c>
      <c r="I428">
        <v>0</v>
      </c>
      <c r="J428">
        <v>189.5764516129033</v>
      </c>
      <c r="K428">
        <v>0.1357375212029609</v>
      </c>
    </row>
    <row r="429" spans="1:11" x14ac:dyDescent="0.3">
      <c r="A429" s="37">
        <v>1</v>
      </c>
      <c r="B429" t="s">
        <v>200</v>
      </c>
      <c r="C429" t="s">
        <v>500</v>
      </c>
      <c r="D429" t="s">
        <v>502</v>
      </c>
      <c r="E429">
        <v>56</v>
      </c>
      <c r="F429">
        <v>24.94</v>
      </c>
      <c r="G429">
        <v>27.342580645161291</v>
      </c>
      <c r="H429">
        <v>54.489999999999988</v>
      </c>
      <c r="I429">
        <v>0</v>
      </c>
      <c r="J429">
        <v>189.0345161290322</v>
      </c>
      <c r="K429">
        <v>0.13534949316146769</v>
      </c>
    </row>
    <row r="430" spans="1:11" x14ac:dyDescent="0.3">
      <c r="A430" s="37">
        <v>1</v>
      </c>
      <c r="B430" t="s">
        <v>201</v>
      </c>
      <c r="C430" t="s">
        <v>500</v>
      </c>
      <c r="D430" t="s">
        <v>502</v>
      </c>
      <c r="E430">
        <v>56</v>
      </c>
      <c r="F430">
        <v>24.94</v>
      </c>
      <c r="G430">
        <v>27.332903225806451</v>
      </c>
      <c r="H430">
        <v>54.489999999999988</v>
      </c>
      <c r="I430">
        <v>0</v>
      </c>
      <c r="J430">
        <v>188.49258064516141</v>
      </c>
      <c r="K430">
        <v>0.13496146511997459</v>
      </c>
    </row>
    <row r="431" spans="1:11" x14ac:dyDescent="0.3">
      <c r="A431" s="37">
        <v>1</v>
      </c>
      <c r="B431" t="s">
        <v>202</v>
      </c>
      <c r="C431" t="s">
        <v>500</v>
      </c>
      <c r="D431" t="s">
        <v>502</v>
      </c>
      <c r="E431">
        <v>56</v>
      </c>
      <c r="F431">
        <v>24.94</v>
      </c>
      <c r="G431">
        <v>27.32322580645161</v>
      </c>
      <c r="H431">
        <v>54.489999999999988</v>
      </c>
      <c r="I431">
        <v>0</v>
      </c>
      <c r="J431">
        <v>187.95064516129031</v>
      </c>
      <c r="K431">
        <v>0.13457343707848141</v>
      </c>
    </row>
    <row r="432" spans="1:11" x14ac:dyDescent="0.3">
      <c r="A432" s="37">
        <v>1</v>
      </c>
      <c r="B432" t="s">
        <v>203</v>
      </c>
      <c r="C432" t="s">
        <v>500</v>
      </c>
      <c r="D432" t="s">
        <v>502</v>
      </c>
      <c r="E432">
        <v>56</v>
      </c>
      <c r="F432">
        <v>24.94</v>
      </c>
      <c r="G432">
        <v>27.31354838709678</v>
      </c>
      <c r="H432">
        <v>54.489999999999988</v>
      </c>
      <c r="I432">
        <v>0</v>
      </c>
      <c r="J432">
        <v>187.40870967741941</v>
      </c>
      <c r="K432">
        <v>0.13418540903698839</v>
      </c>
    </row>
    <row r="433" spans="1:11" x14ac:dyDescent="0.3">
      <c r="A433" s="37">
        <v>1</v>
      </c>
      <c r="B433" t="s">
        <v>204</v>
      </c>
      <c r="C433" t="s">
        <v>500</v>
      </c>
      <c r="D433" t="s">
        <v>502</v>
      </c>
      <c r="E433">
        <v>56</v>
      </c>
      <c r="F433">
        <v>24.94</v>
      </c>
      <c r="G433">
        <v>27.30387096774194</v>
      </c>
      <c r="H433">
        <v>54.489999999999988</v>
      </c>
      <c r="I433">
        <v>0</v>
      </c>
      <c r="J433">
        <v>186.86677419354831</v>
      </c>
      <c r="K433">
        <v>0.1337973809954951</v>
      </c>
    </row>
    <row r="434" spans="1:11" x14ac:dyDescent="0.3">
      <c r="A434" s="37">
        <v>1</v>
      </c>
      <c r="B434" t="s">
        <v>205</v>
      </c>
      <c r="C434" t="s">
        <v>500</v>
      </c>
      <c r="D434" t="s">
        <v>502</v>
      </c>
      <c r="E434">
        <v>56</v>
      </c>
      <c r="F434">
        <v>24.94</v>
      </c>
      <c r="G434">
        <v>27.294193548387099</v>
      </c>
      <c r="H434">
        <v>54.489999999999988</v>
      </c>
      <c r="I434">
        <v>0</v>
      </c>
      <c r="J434">
        <v>186.32483870967749</v>
      </c>
      <c r="K434">
        <v>0.13340935295400211</v>
      </c>
    </row>
    <row r="435" spans="1:11" x14ac:dyDescent="0.3">
      <c r="A435" s="37">
        <v>1</v>
      </c>
      <c r="B435" t="s">
        <v>206</v>
      </c>
      <c r="C435" t="s">
        <v>500</v>
      </c>
      <c r="D435" t="s">
        <v>502</v>
      </c>
      <c r="E435">
        <v>56</v>
      </c>
      <c r="F435">
        <v>24.94</v>
      </c>
      <c r="G435">
        <v>27.284516129032259</v>
      </c>
      <c r="H435">
        <v>54.489999999999988</v>
      </c>
      <c r="I435">
        <v>0</v>
      </c>
      <c r="J435">
        <v>185.78290322580639</v>
      </c>
      <c r="K435">
        <v>0.1330213249125089</v>
      </c>
    </row>
    <row r="436" spans="1:11" x14ac:dyDescent="0.3">
      <c r="A436" s="37">
        <v>1</v>
      </c>
      <c r="B436" t="s">
        <v>207</v>
      </c>
      <c r="C436" t="s">
        <v>500</v>
      </c>
      <c r="D436" t="s">
        <v>502</v>
      </c>
      <c r="E436">
        <v>56</v>
      </c>
      <c r="F436">
        <v>24.94</v>
      </c>
      <c r="G436">
        <v>27.274838709677422</v>
      </c>
      <c r="H436">
        <v>54.489999999999988</v>
      </c>
      <c r="I436">
        <v>0</v>
      </c>
      <c r="J436">
        <v>185.24096774193549</v>
      </c>
      <c r="K436">
        <v>0.1326332968710158</v>
      </c>
    </row>
    <row r="437" spans="1:11" x14ac:dyDescent="0.3">
      <c r="A437" s="37">
        <v>1</v>
      </c>
      <c r="B437" t="s">
        <v>208</v>
      </c>
      <c r="C437" t="s">
        <v>500</v>
      </c>
      <c r="D437" t="s">
        <v>502</v>
      </c>
      <c r="E437">
        <v>56</v>
      </c>
      <c r="F437">
        <v>24.94</v>
      </c>
      <c r="G437">
        <v>27.265161290322581</v>
      </c>
      <c r="H437">
        <v>54.489999999999988</v>
      </c>
      <c r="I437">
        <v>0</v>
      </c>
      <c r="J437">
        <v>184.69903225806439</v>
      </c>
      <c r="K437">
        <v>0.13224526882952259</v>
      </c>
    </row>
    <row r="438" spans="1:11" x14ac:dyDescent="0.3">
      <c r="A438" s="37">
        <v>1</v>
      </c>
      <c r="B438" t="s">
        <v>209</v>
      </c>
      <c r="C438" t="s">
        <v>500</v>
      </c>
      <c r="D438" t="s">
        <v>502</v>
      </c>
      <c r="E438">
        <v>56</v>
      </c>
      <c r="F438">
        <v>24.94</v>
      </c>
      <c r="G438">
        <v>27.255483870967741</v>
      </c>
      <c r="H438">
        <v>54.489999999999988</v>
      </c>
      <c r="I438">
        <v>0</v>
      </c>
      <c r="J438">
        <v>184.1570967741936</v>
      </c>
      <c r="K438">
        <v>0.13185724078802949</v>
      </c>
    </row>
    <row r="439" spans="1:11" x14ac:dyDescent="0.3">
      <c r="A439" s="37">
        <v>1</v>
      </c>
      <c r="B439" t="s">
        <v>210</v>
      </c>
      <c r="C439" t="s">
        <v>500</v>
      </c>
      <c r="D439" t="s">
        <v>502</v>
      </c>
      <c r="E439">
        <v>56</v>
      </c>
      <c r="F439">
        <v>24.94</v>
      </c>
      <c r="G439">
        <v>27.2458064516129</v>
      </c>
      <c r="H439">
        <v>54.489999999999988</v>
      </c>
      <c r="I439">
        <v>0</v>
      </c>
      <c r="J439">
        <v>183.6151612903225</v>
      </c>
      <c r="K439">
        <v>0.13146921274653631</v>
      </c>
    </row>
    <row r="440" spans="1:11" x14ac:dyDescent="0.3">
      <c r="A440" s="37">
        <v>1</v>
      </c>
      <c r="B440" t="s">
        <v>211</v>
      </c>
      <c r="C440" t="s">
        <v>500</v>
      </c>
      <c r="D440" t="s">
        <v>502</v>
      </c>
      <c r="E440">
        <v>56</v>
      </c>
      <c r="F440">
        <v>24.94</v>
      </c>
      <c r="G440">
        <v>27.23612903225807</v>
      </c>
      <c r="H440">
        <v>54.489999999999988</v>
      </c>
      <c r="I440">
        <v>0</v>
      </c>
      <c r="J440">
        <v>183.07322580645169</v>
      </c>
      <c r="K440">
        <v>0.13108118470504329</v>
      </c>
    </row>
    <row r="441" spans="1:11" x14ac:dyDescent="0.3">
      <c r="A441" s="37">
        <v>1</v>
      </c>
      <c r="B441" t="s">
        <v>212</v>
      </c>
      <c r="C441" t="s">
        <v>500</v>
      </c>
      <c r="D441" t="s">
        <v>502</v>
      </c>
      <c r="E441">
        <v>56</v>
      </c>
      <c r="F441">
        <v>24.94</v>
      </c>
      <c r="G441">
        <v>27.226451612903229</v>
      </c>
      <c r="H441">
        <v>54.489999999999988</v>
      </c>
      <c r="I441">
        <v>0</v>
      </c>
      <c r="J441">
        <v>182.53129032258059</v>
      </c>
      <c r="K441">
        <v>0.13069315666355011</v>
      </c>
    </row>
    <row r="442" spans="1:11" x14ac:dyDescent="0.3">
      <c r="A442" s="37">
        <v>1</v>
      </c>
      <c r="B442" t="s">
        <v>213</v>
      </c>
      <c r="C442" t="s">
        <v>500</v>
      </c>
      <c r="D442" t="s">
        <v>502</v>
      </c>
      <c r="E442">
        <v>56</v>
      </c>
      <c r="F442">
        <v>24.94</v>
      </c>
      <c r="G442">
        <v>27.216774193548389</v>
      </c>
      <c r="H442">
        <v>54.489999999999988</v>
      </c>
      <c r="I442">
        <v>0</v>
      </c>
      <c r="J442">
        <v>181.98935483870969</v>
      </c>
      <c r="K442">
        <v>0.13030512862205701</v>
      </c>
    </row>
    <row r="443" spans="1:11" x14ac:dyDescent="0.3">
      <c r="A443" s="37">
        <v>1</v>
      </c>
      <c r="B443" t="s">
        <v>214</v>
      </c>
      <c r="C443" t="s">
        <v>500</v>
      </c>
      <c r="D443" t="s">
        <v>502</v>
      </c>
      <c r="E443">
        <v>56</v>
      </c>
      <c r="F443">
        <v>24.94</v>
      </c>
      <c r="G443">
        <v>27.207096774193548</v>
      </c>
      <c r="H443">
        <v>54.489999999999988</v>
      </c>
      <c r="I443">
        <v>0</v>
      </c>
      <c r="J443">
        <v>181.44741935483859</v>
      </c>
      <c r="K443">
        <v>0.1299171005805638</v>
      </c>
    </row>
    <row r="444" spans="1:11" x14ac:dyDescent="0.3">
      <c r="A444" s="37">
        <v>1</v>
      </c>
      <c r="B444" t="s">
        <v>215</v>
      </c>
      <c r="C444" t="s">
        <v>500</v>
      </c>
      <c r="D444" t="s">
        <v>502</v>
      </c>
      <c r="E444">
        <v>56</v>
      </c>
      <c r="F444">
        <v>24.94</v>
      </c>
      <c r="G444">
        <v>27.197419354838711</v>
      </c>
      <c r="H444">
        <v>54.489999999999988</v>
      </c>
      <c r="I444">
        <v>0</v>
      </c>
      <c r="J444">
        <v>180.9054838709678</v>
      </c>
      <c r="K444">
        <v>0.1295290725390707</v>
      </c>
    </row>
    <row r="445" spans="1:11" x14ac:dyDescent="0.3">
      <c r="A445" s="37">
        <v>1</v>
      </c>
      <c r="B445" t="s">
        <v>216</v>
      </c>
      <c r="C445" t="s">
        <v>500</v>
      </c>
      <c r="D445" t="s">
        <v>502</v>
      </c>
      <c r="E445">
        <v>56</v>
      </c>
      <c r="F445">
        <v>24.94</v>
      </c>
      <c r="G445">
        <v>27.187741935483871</v>
      </c>
      <c r="H445">
        <v>54.489999999999988</v>
      </c>
      <c r="I445">
        <v>0</v>
      </c>
      <c r="J445">
        <v>180.3635483870967</v>
      </c>
      <c r="K445">
        <v>0.12914104449757749</v>
      </c>
    </row>
    <row r="446" spans="1:11" x14ac:dyDescent="0.3">
      <c r="A446" s="37">
        <v>1</v>
      </c>
      <c r="B446" t="s">
        <v>217</v>
      </c>
      <c r="C446" t="s">
        <v>500</v>
      </c>
      <c r="D446" t="s">
        <v>502</v>
      </c>
      <c r="E446">
        <v>56</v>
      </c>
      <c r="F446">
        <v>24.94</v>
      </c>
      <c r="G446">
        <v>27.17806451612903</v>
      </c>
      <c r="H446">
        <v>54.489999999999988</v>
      </c>
      <c r="I446">
        <v>0</v>
      </c>
      <c r="J446">
        <v>179.8216129032258</v>
      </c>
      <c r="K446">
        <v>0.12875301645608439</v>
      </c>
    </row>
    <row r="447" spans="1:11" x14ac:dyDescent="0.3">
      <c r="A447" s="37">
        <v>1</v>
      </c>
      <c r="B447" t="s">
        <v>218</v>
      </c>
      <c r="C447" t="s">
        <v>500</v>
      </c>
      <c r="D447" t="s">
        <v>502</v>
      </c>
      <c r="E447">
        <v>56</v>
      </c>
      <c r="F447">
        <v>24.94</v>
      </c>
      <c r="G447">
        <v>27.16838709677419</v>
      </c>
      <c r="H447">
        <v>54.489999999999988</v>
      </c>
      <c r="I447">
        <v>0</v>
      </c>
      <c r="J447">
        <v>179.27967741935481</v>
      </c>
      <c r="K447">
        <v>0.12836498841459129</v>
      </c>
    </row>
    <row r="448" spans="1:11" x14ac:dyDescent="0.3">
      <c r="A448" s="37">
        <v>1</v>
      </c>
      <c r="B448" t="s">
        <v>219</v>
      </c>
      <c r="C448" t="s">
        <v>500</v>
      </c>
      <c r="D448" t="s">
        <v>502</v>
      </c>
      <c r="E448">
        <v>56</v>
      </c>
      <c r="F448">
        <v>24.94</v>
      </c>
      <c r="G448">
        <v>27.15870967741936</v>
      </c>
      <c r="H448">
        <v>54.489999999999988</v>
      </c>
      <c r="I448">
        <v>0</v>
      </c>
      <c r="J448">
        <v>178.73774193548391</v>
      </c>
      <c r="K448">
        <v>0.12797696037309819</v>
      </c>
    </row>
    <row r="449" spans="1:11" x14ac:dyDescent="0.3">
      <c r="A449" s="37">
        <v>1</v>
      </c>
      <c r="B449" t="s">
        <v>220</v>
      </c>
      <c r="C449" t="s">
        <v>500</v>
      </c>
      <c r="D449" t="s">
        <v>502</v>
      </c>
      <c r="E449">
        <v>56</v>
      </c>
      <c r="F449">
        <v>24.94</v>
      </c>
      <c r="G449">
        <v>27.149032258064519</v>
      </c>
      <c r="H449">
        <v>54.489999999999988</v>
      </c>
      <c r="I449">
        <v>0</v>
      </c>
      <c r="J449">
        <v>178.19580645161281</v>
      </c>
      <c r="K449">
        <v>0.12758893233160501</v>
      </c>
    </row>
    <row r="450" spans="1:11" x14ac:dyDescent="0.3">
      <c r="A450" s="37">
        <v>1</v>
      </c>
      <c r="B450" t="s">
        <v>221</v>
      </c>
      <c r="C450" t="s">
        <v>500</v>
      </c>
      <c r="D450" t="s">
        <v>502</v>
      </c>
      <c r="E450">
        <v>56</v>
      </c>
      <c r="F450">
        <v>24.94</v>
      </c>
      <c r="G450">
        <v>27.139354838709679</v>
      </c>
      <c r="H450">
        <v>54.489999999999988</v>
      </c>
      <c r="I450">
        <v>0</v>
      </c>
      <c r="J450">
        <v>177.65387096774191</v>
      </c>
      <c r="K450">
        <v>0.12720090429011191</v>
      </c>
    </row>
    <row r="451" spans="1:11" x14ac:dyDescent="0.3">
      <c r="A451" s="37">
        <v>1</v>
      </c>
      <c r="B451" t="s">
        <v>222</v>
      </c>
      <c r="C451" t="s">
        <v>500</v>
      </c>
      <c r="D451" t="s">
        <v>502</v>
      </c>
      <c r="E451">
        <v>56</v>
      </c>
      <c r="F451">
        <v>24.94</v>
      </c>
      <c r="G451">
        <v>27.129677419354842</v>
      </c>
      <c r="H451">
        <v>54.489999999999988</v>
      </c>
      <c r="I451">
        <v>0</v>
      </c>
      <c r="J451">
        <v>177.11193548387089</v>
      </c>
      <c r="K451">
        <v>0.1268128762486187</v>
      </c>
    </row>
    <row r="452" spans="1:11" x14ac:dyDescent="0.3">
      <c r="A452" s="37">
        <v>1</v>
      </c>
      <c r="B452" t="s">
        <v>223</v>
      </c>
      <c r="C452" t="s">
        <v>500</v>
      </c>
      <c r="D452" t="s">
        <v>502</v>
      </c>
      <c r="E452">
        <v>56</v>
      </c>
      <c r="F452">
        <v>24.94</v>
      </c>
      <c r="G452">
        <v>27.12</v>
      </c>
      <c r="H452">
        <v>54.489999999999988</v>
      </c>
      <c r="I452">
        <v>0</v>
      </c>
      <c r="J452">
        <v>176.57</v>
      </c>
      <c r="K452">
        <v>0.12642484820712571</v>
      </c>
    </row>
    <row r="453" spans="1:11" x14ac:dyDescent="0.3">
      <c r="A453" s="37">
        <v>1</v>
      </c>
      <c r="B453" t="s">
        <v>224</v>
      </c>
      <c r="C453" t="s">
        <v>500</v>
      </c>
      <c r="D453" t="s">
        <v>502</v>
      </c>
      <c r="E453">
        <v>56</v>
      </c>
      <c r="F453">
        <v>24.94</v>
      </c>
      <c r="G453">
        <v>27.105862068965521</v>
      </c>
      <c r="H453">
        <v>77.66</v>
      </c>
      <c r="I453">
        <v>0</v>
      </c>
      <c r="J453">
        <v>198.9482758620689</v>
      </c>
      <c r="K453">
        <v>0.1424477860164888</v>
      </c>
    </row>
    <row r="454" spans="1:11" x14ac:dyDescent="0.3">
      <c r="A454" s="37">
        <v>1</v>
      </c>
      <c r="B454" t="s">
        <v>225</v>
      </c>
      <c r="C454" t="s">
        <v>500</v>
      </c>
      <c r="D454" t="s">
        <v>502</v>
      </c>
      <c r="E454">
        <v>56</v>
      </c>
      <c r="F454">
        <v>24.94</v>
      </c>
      <c r="G454">
        <v>27.091724137931031</v>
      </c>
      <c r="H454">
        <v>77.66</v>
      </c>
      <c r="I454">
        <v>0</v>
      </c>
      <c r="J454">
        <v>198.1565517241379</v>
      </c>
      <c r="K454">
        <v>0.14188090826851429</v>
      </c>
    </row>
    <row r="455" spans="1:11" x14ac:dyDescent="0.3">
      <c r="A455" s="37">
        <v>1</v>
      </c>
      <c r="B455" t="s">
        <v>226</v>
      </c>
      <c r="C455" t="s">
        <v>500</v>
      </c>
      <c r="D455" t="s">
        <v>502</v>
      </c>
      <c r="E455">
        <v>56</v>
      </c>
      <c r="F455">
        <v>24.94</v>
      </c>
      <c r="G455">
        <v>27.077586206896552</v>
      </c>
      <c r="H455">
        <v>77.66</v>
      </c>
      <c r="I455">
        <v>0</v>
      </c>
      <c r="J455">
        <v>197.36482758620679</v>
      </c>
      <c r="K455">
        <v>0.1413140305205399</v>
      </c>
    </row>
    <row r="456" spans="1:11" x14ac:dyDescent="0.3">
      <c r="A456" s="37">
        <v>1</v>
      </c>
      <c r="B456" t="s">
        <v>227</v>
      </c>
      <c r="C456" t="s">
        <v>500</v>
      </c>
      <c r="D456" t="s">
        <v>502</v>
      </c>
      <c r="E456">
        <v>56</v>
      </c>
      <c r="F456">
        <v>24.94</v>
      </c>
      <c r="G456">
        <v>27.063448275862068</v>
      </c>
      <c r="H456">
        <v>77.66</v>
      </c>
      <c r="I456">
        <v>0</v>
      </c>
      <c r="J456">
        <v>196.57310344827579</v>
      </c>
      <c r="K456">
        <v>0.14074715277256539</v>
      </c>
    </row>
    <row r="457" spans="1:11" x14ac:dyDescent="0.3">
      <c r="A457" s="37">
        <v>1</v>
      </c>
      <c r="B457" t="s">
        <v>228</v>
      </c>
      <c r="C457" t="s">
        <v>500</v>
      </c>
      <c r="D457" t="s">
        <v>502</v>
      </c>
      <c r="E457">
        <v>56</v>
      </c>
      <c r="F457">
        <v>24.94</v>
      </c>
      <c r="G457">
        <v>27.049310344827589</v>
      </c>
      <c r="H457">
        <v>77.66</v>
      </c>
      <c r="I457">
        <v>0</v>
      </c>
      <c r="J457">
        <v>195.7813793103449</v>
      </c>
      <c r="K457">
        <v>0.1401802750245911</v>
      </c>
    </row>
    <row r="458" spans="1:11" x14ac:dyDescent="0.3">
      <c r="A458" s="37">
        <v>1</v>
      </c>
      <c r="B458" t="s">
        <v>229</v>
      </c>
      <c r="C458" t="s">
        <v>500</v>
      </c>
      <c r="D458" t="s">
        <v>502</v>
      </c>
      <c r="E458">
        <v>56</v>
      </c>
      <c r="F458">
        <v>24.94</v>
      </c>
      <c r="G458">
        <v>27.035172413793109</v>
      </c>
      <c r="H458">
        <v>77.66</v>
      </c>
      <c r="I458">
        <v>0</v>
      </c>
      <c r="J458">
        <v>194.98965517241379</v>
      </c>
      <c r="K458">
        <v>0.13961339727661659</v>
      </c>
    </row>
    <row r="459" spans="1:11" x14ac:dyDescent="0.3">
      <c r="A459" s="37">
        <v>1</v>
      </c>
      <c r="B459" t="s">
        <v>230</v>
      </c>
      <c r="C459" t="s">
        <v>500</v>
      </c>
      <c r="D459" t="s">
        <v>502</v>
      </c>
      <c r="E459">
        <v>56</v>
      </c>
      <c r="F459">
        <v>24.94</v>
      </c>
      <c r="G459">
        <v>27.021034482758619</v>
      </c>
      <c r="H459">
        <v>77.66</v>
      </c>
      <c r="I459">
        <v>0</v>
      </c>
      <c r="J459">
        <v>194.19793103448279</v>
      </c>
      <c r="K459">
        <v>0.13904651952864219</v>
      </c>
    </row>
    <row r="460" spans="1:11" x14ac:dyDescent="0.3">
      <c r="A460" s="37">
        <v>1</v>
      </c>
      <c r="B460" t="s">
        <v>231</v>
      </c>
      <c r="C460" t="s">
        <v>500</v>
      </c>
      <c r="D460" t="s">
        <v>502</v>
      </c>
      <c r="E460">
        <v>56</v>
      </c>
      <c r="F460">
        <v>24.94</v>
      </c>
      <c r="G460">
        <v>27.006896551724139</v>
      </c>
      <c r="H460">
        <v>77.66</v>
      </c>
      <c r="I460">
        <v>0</v>
      </c>
      <c r="J460">
        <v>193.40620689655171</v>
      </c>
      <c r="K460">
        <v>0.13847964178066771</v>
      </c>
    </row>
    <row r="461" spans="1:11" x14ac:dyDescent="0.3">
      <c r="A461" s="37">
        <v>1</v>
      </c>
      <c r="B461" t="s">
        <v>232</v>
      </c>
      <c r="C461" t="s">
        <v>500</v>
      </c>
      <c r="D461" t="s">
        <v>502</v>
      </c>
      <c r="E461">
        <v>56</v>
      </c>
      <c r="F461">
        <v>24.94</v>
      </c>
      <c r="G461">
        <v>26.99275862068966</v>
      </c>
      <c r="H461">
        <v>77.66</v>
      </c>
      <c r="I461">
        <v>0</v>
      </c>
      <c r="J461">
        <v>192.61448275862071</v>
      </c>
      <c r="K461">
        <v>0.1379127640326932</v>
      </c>
    </row>
    <row r="462" spans="1:11" x14ac:dyDescent="0.3">
      <c r="A462" s="37">
        <v>1</v>
      </c>
      <c r="B462" t="s">
        <v>233</v>
      </c>
      <c r="C462" t="s">
        <v>500</v>
      </c>
      <c r="D462" t="s">
        <v>502</v>
      </c>
      <c r="E462">
        <v>56</v>
      </c>
      <c r="F462">
        <v>24.94</v>
      </c>
      <c r="G462">
        <v>26.97862068965517</v>
      </c>
      <c r="H462">
        <v>77.66</v>
      </c>
      <c r="I462">
        <v>0</v>
      </c>
      <c r="J462">
        <v>191.8227586206896</v>
      </c>
      <c r="K462">
        <v>0.13734588628471869</v>
      </c>
    </row>
    <row r="463" spans="1:11" x14ac:dyDescent="0.3">
      <c r="A463" s="37">
        <v>1</v>
      </c>
      <c r="B463" t="s">
        <v>234</v>
      </c>
      <c r="C463" t="s">
        <v>500</v>
      </c>
      <c r="D463" t="s">
        <v>502</v>
      </c>
      <c r="E463">
        <v>56</v>
      </c>
      <c r="F463">
        <v>24.94</v>
      </c>
      <c r="G463">
        <v>26.96448275862069</v>
      </c>
      <c r="H463">
        <v>77.66</v>
      </c>
      <c r="I463">
        <v>0</v>
      </c>
      <c r="J463">
        <v>191.0310344827586</v>
      </c>
      <c r="K463">
        <v>0.1367790085367443</v>
      </c>
    </row>
    <row r="464" spans="1:11" x14ac:dyDescent="0.3">
      <c r="A464" s="37">
        <v>1</v>
      </c>
      <c r="B464" t="s">
        <v>235</v>
      </c>
      <c r="C464" t="s">
        <v>500</v>
      </c>
      <c r="D464" t="s">
        <v>502</v>
      </c>
      <c r="E464">
        <v>56</v>
      </c>
      <c r="F464">
        <v>24.94</v>
      </c>
      <c r="G464">
        <v>26.950344827586211</v>
      </c>
      <c r="H464">
        <v>77.66</v>
      </c>
      <c r="I464">
        <v>0</v>
      </c>
      <c r="J464">
        <v>190.23931034482749</v>
      </c>
      <c r="K464">
        <v>0.13621213078876979</v>
      </c>
    </row>
    <row r="465" spans="1:11" x14ac:dyDescent="0.3">
      <c r="A465" s="37">
        <v>1</v>
      </c>
      <c r="B465" t="s">
        <v>236</v>
      </c>
      <c r="C465" t="s">
        <v>500</v>
      </c>
      <c r="D465" t="s">
        <v>502</v>
      </c>
      <c r="E465">
        <v>56</v>
      </c>
      <c r="F465">
        <v>24.94</v>
      </c>
      <c r="G465">
        <v>26.93620689655172</v>
      </c>
      <c r="H465">
        <v>77.66</v>
      </c>
      <c r="I465">
        <v>0</v>
      </c>
      <c r="J465">
        <v>189.44758620689649</v>
      </c>
      <c r="K465">
        <v>0.13564525304079539</v>
      </c>
    </row>
    <row r="466" spans="1:11" x14ac:dyDescent="0.3">
      <c r="A466" s="37">
        <v>1</v>
      </c>
      <c r="B466" t="s">
        <v>237</v>
      </c>
      <c r="C466" t="s">
        <v>500</v>
      </c>
      <c r="D466" t="s">
        <v>502</v>
      </c>
      <c r="E466">
        <v>56</v>
      </c>
      <c r="F466">
        <v>24.94</v>
      </c>
      <c r="G466">
        <v>26.922068965517241</v>
      </c>
      <c r="H466">
        <v>77.66</v>
      </c>
      <c r="I466">
        <v>0</v>
      </c>
      <c r="J466">
        <v>188.6558620689654</v>
      </c>
      <c r="K466">
        <v>0.13507837529282091</v>
      </c>
    </row>
    <row r="467" spans="1:11" x14ac:dyDescent="0.3">
      <c r="A467" s="37">
        <v>1</v>
      </c>
      <c r="B467" t="s">
        <v>238</v>
      </c>
      <c r="C467" t="s">
        <v>500</v>
      </c>
      <c r="D467" t="s">
        <v>502</v>
      </c>
      <c r="E467">
        <v>56</v>
      </c>
      <c r="F467">
        <v>24.94</v>
      </c>
      <c r="G467">
        <v>26.907931034482761</v>
      </c>
      <c r="H467">
        <v>77.66</v>
      </c>
      <c r="I467">
        <v>0</v>
      </c>
      <c r="J467">
        <v>187.86413793103449</v>
      </c>
      <c r="K467">
        <v>0.13451149754484659</v>
      </c>
    </row>
    <row r="468" spans="1:11" x14ac:dyDescent="0.3">
      <c r="A468" s="37">
        <v>1</v>
      </c>
      <c r="B468" t="s">
        <v>239</v>
      </c>
      <c r="C468" t="s">
        <v>500</v>
      </c>
      <c r="D468" t="s">
        <v>502</v>
      </c>
      <c r="E468">
        <v>56</v>
      </c>
      <c r="F468">
        <v>24.94</v>
      </c>
      <c r="G468">
        <v>26.893793103448282</v>
      </c>
      <c r="H468">
        <v>77.66</v>
      </c>
      <c r="I468">
        <v>0</v>
      </c>
      <c r="J468">
        <v>187.07241379310349</v>
      </c>
      <c r="K468">
        <v>0.13394461979687211</v>
      </c>
    </row>
    <row r="469" spans="1:11" x14ac:dyDescent="0.3">
      <c r="A469" s="37">
        <v>1</v>
      </c>
      <c r="B469" t="s">
        <v>240</v>
      </c>
      <c r="C469" t="s">
        <v>500</v>
      </c>
      <c r="D469" t="s">
        <v>502</v>
      </c>
      <c r="E469">
        <v>56</v>
      </c>
      <c r="F469">
        <v>24.94</v>
      </c>
      <c r="G469">
        <v>26.879655172413791</v>
      </c>
      <c r="H469">
        <v>77.66</v>
      </c>
      <c r="I469">
        <v>0</v>
      </c>
      <c r="J469">
        <v>186.28068965517241</v>
      </c>
      <c r="K469">
        <v>0.13337774204889771</v>
      </c>
    </row>
    <row r="470" spans="1:11" x14ac:dyDescent="0.3">
      <c r="A470" s="37">
        <v>1</v>
      </c>
      <c r="B470" t="s">
        <v>241</v>
      </c>
      <c r="C470" t="s">
        <v>500</v>
      </c>
      <c r="D470" t="s">
        <v>502</v>
      </c>
      <c r="E470">
        <v>56</v>
      </c>
      <c r="F470">
        <v>24.94</v>
      </c>
      <c r="G470">
        <v>26.865517241379312</v>
      </c>
      <c r="H470">
        <v>77.66</v>
      </c>
      <c r="I470">
        <v>0</v>
      </c>
      <c r="J470">
        <v>185.48896551724141</v>
      </c>
      <c r="K470">
        <v>0.1328108643009232</v>
      </c>
    </row>
    <row r="471" spans="1:11" x14ac:dyDescent="0.3">
      <c r="A471" s="37">
        <v>1</v>
      </c>
      <c r="B471" t="s">
        <v>242</v>
      </c>
      <c r="C471" t="s">
        <v>500</v>
      </c>
      <c r="D471" t="s">
        <v>502</v>
      </c>
      <c r="E471">
        <v>56</v>
      </c>
      <c r="F471">
        <v>24.94</v>
      </c>
      <c r="G471">
        <v>26.851379310344829</v>
      </c>
      <c r="H471">
        <v>77.66</v>
      </c>
      <c r="I471">
        <v>0</v>
      </c>
      <c r="J471">
        <v>184.6972413793103</v>
      </c>
      <c r="K471">
        <v>0.13224398655294869</v>
      </c>
    </row>
    <row r="472" spans="1:11" x14ac:dyDescent="0.3">
      <c r="A472" s="37">
        <v>1</v>
      </c>
      <c r="B472" t="s">
        <v>243</v>
      </c>
      <c r="C472" t="s">
        <v>500</v>
      </c>
      <c r="D472" t="s">
        <v>502</v>
      </c>
      <c r="E472">
        <v>56</v>
      </c>
      <c r="F472">
        <v>24.94</v>
      </c>
      <c r="G472">
        <v>26.837241379310349</v>
      </c>
      <c r="H472">
        <v>77.66</v>
      </c>
      <c r="I472">
        <v>0</v>
      </c>
      <c r="J472">
        <v>183.9055172413793</v>
      </c>
      <c r="K472">
        <v>0.1316771088049743</v>
      </c>
    </row>
    <row r="473" spans="1:11" x14ac:dyDescent="0.3">
      <c r="A473" s="37">
        <v>1</v>
      </c>
      <c r="B473" t="s">
        <v>244</v>
      </c>
      <c r="C473" t="s">
        <v>500</v>
      </c>
      <c r="D473" t="s">
        <v>502</v>
      </c>
      <c r="E473">
        <v>56</v>
      </c>
      <c r="F473">
        <v>24.94</v>
      </c>
      <c r="G473">
        <v>26.823103448275859</v>
      </c>
      <c r="H473">
        <v>77.66</v>
      </c>
      <c r="I473">
        <v>0</v>
      </c>
      <c r="J473">
        <v>183.11379310344819</v>
      </c>
      <c r="K473">
        <v>0.13111023105699979</v>
      </c>
    </row>
    <row r="474" spans="1:11" x14ac:dyDescent="0.3">
      <c r="A474" s="37">
        <v>1</v>
      </c>
      <c r="B474" t="s">
        <v>245</v>
      </c>
      <c r="C474" t="s">
        <v>500</v>
      </c>
      <c r="D474" t="s">
        <v>502</v>
      </c>
      <c r="E474">
        <v>56</v>
      </c>
      <c r="F474">
        <v>24.94</v>
      </c>
      <c r="G474">
        <v>26.808965517241379</v>
      </c>
      <c r="H474">
        <v>77.66</v>
      </c>
      <c r="I474">
        <v>0</v>
      </c>
      <c r="J474">
        <v>182.32206896551719</v>
      </c>
      <c r="K474">
        <v>0.13054335330902531</v>
      </c>
    </row>
    <row r="475" spans="1:11" x14ac:dyDescent="0.3">
      <c r="A475" s="37">
        <v>1</v>
      </c>
      <c r="B475" t="s">
        <v>246</v>
      </c>
      <c r="C475" t="s">
        <v>500</v>
      </c>
      <c r="D475" t="s">
        <v>502</v>
      </c>
      <c r="E475">
        <v>56</v>
      </c>
      <c r="F475">
        <v>24.94</v>
      </c>
      <c r="G475">
        <v>26.7948275862069</v>
      </c>
      <c r="H475">
        <v>77.66</v>
      </c>
      <c r="I475">
        <v>0</v>
      </c>
      <c r="J475">
        <v>181.53034482758611</v>
      </c>
      <c r="K475">
        <v>0.12997647556105091</v>
      </c>
    </row>
    <row r="476" spans="1:11" x14ac:dyDescent="0.3">
      <c r="A476" s="37">
        <v>1</v>
      </c>
      <c r="B476" t="s">
        <v>247</v>
      </c>
      <c r="C476" t="s">
        <v>500</v>
      </c>
      <c r="D476" t="s">
        <v>502</v>
      </c>
      <c r="E476">
        <v>56</v>
      </c>
      <c r="F476">
        <v>24.94</v>
      </c>
      <c r="G476">
        <v>26.780689655172409</v>
      </c>
      <c r="H476">
        <v>77.66</v>
      </c>
      <c r="I476">
        <v>0</v>
      </c>
      <c r="J476">
        <v>180.73862068965511</v>
      </c>
      <c r="K476">
        <v>0.1294095978130764</v>
      </c>
    </row>
    <row r="477" spans="1:11" x14ac:dyDescent="0.3">
      <c r="A477" s="37">
        <v>1</v>
      </c>
      <c r="B477" t="s">
        <v>248</v>
      </c>
      <c r="C477" t="s">
        <v>500</v>
      </c>
      <c r="D477" t="s">
        <v>502</v>
      </c>
      <c r="E477">
        <v>56</v>
      </c>
      <c r="F477">
        <v>24.94</v>
      </c>
      <c r="G477">
        <v>26.76655172413793</v>
      </c>
      <c r="H477">
        <v>77.66</v>
      </c>
      <c r="I477">
        <v>0</v>
      </c>
      <c r="J477">
        <v>179.94689655172419</v>
      </c>
      <c r="K477">
        <v>0.12884272006510211</v>
      </c>
    </row>
    <row r="478" spans="1:11" x14ac:dyDescent="0.3">
      <c r="A478" s="37">
        <v>1</v>
      </c>
      <c r="B478" t="s">
        <v>249</v>
      </c>
      <c r="C478" t="s">
        <v>500</v>
      </c>
      <c r="D478" t="s">
        <v>502</v>
      </c>
      <c r="E478">
        <v>56</v>
      </c>
      <c r="F478">
        <v>24.94</v>
      </c>
      <c r="G478">
        <v>26.75241379310345</v>
      </c>
      <c r="H478">
        <v>77.66</v>
      </c>
      <c r="I478">
        <v>0</v>
      </c>
      <c r="J478">
        <v>179.15517241379311</v>
      </c>
      <c r="K478">
        <v>0.1282758423171276</v>
      </c>
    </row>
    <row r="479" spans="1:11" x14ac:dyDescent="0.3">
      <c r="A479" s="37">
        <v>1</v>
      </c>
      <c r="B479" t="s">
        <v>250</v>
      </c>
      <c r="C479" t="s">
        <v>500</v>
      </c>
      <c r="D479" t="s">
        <v>502</v>
      </c>
      <c r="E479">
        <v>56</v>
      </c>
      <c r="F479">
        <v>24.94</v>
      </c>
      <c r="G479">
        <v>26.738275862068971</v>
      </c>
      <c r="H479">
        <v>77.66</v>
      </c>
      <c r="I479">
        <v>0</v>
      </c>
      <c r="J479">
        <v>178.36344827586211</v>
      </c>
      <c r="K479">
        <v>0.12770896456915309</v>
      </c>
    </row>
    <row r="480" spans="1:11" x14ac:dyDescent="0.3">
      <c r="A480" s="37">
        <v>1</v>
      </c>
      <c r="B480" t="s">
        <v>251</v>
      </c>
      <c r="C480" t="s">
        <v>500</v>
      </c>
      <c r="D480" t="s">
        <v>502</v>
      </c>
      <c r="E480">
        <v>56</v>
      </c>
      <c r="F480">
        <v>24.94</v>
      </c>
      <c r="G480">
        <v>26.72413793103448</v>
      </c>
      <c r="H480">
        <v>77.66</v>
      </c>
      <c r="I480">
        <v>0</v>
      </c>
      <c r="J480">
        <v>177.571724137931</v>
      </c>
      <c r="K480">
        <v>0.1271420868211787</v>
      </c>
    </row>
    <row r="481" spans="1:11" x14ac:dyDescent="0.3">
      <c r="A481" s="37">
        <v>1</v>
      </c>
      <c r="B481" t="s">
        <v>252</v>
      </c>
      <c r="C481" t="s">
        <v>500</v>
      </c>
      <c r="D481" t="s">
        <v>502</v>
      </c>
      <c r="E481">
        <v>56</v>
      </c>
      <c r="F481">
        <v>24.94</v>
      </c>
      <c r="G481">
        <v>26.71</v>
      </c>
      <c r="H481">
        <v>77.66</v>
      </c>
      <c r="I481">
        <v>0</v>
      </c>
      <c r="J481">
        <v>176.78</v>
      </c>
      <c r="K481">
        <v>0.12657520907320419</v>
      </c>
    </row>
    <row r="482" spans="1:11" x14ac:dyDescent="0.3">
      <c r="A482" s="37">
        <v>1</v>
      </c>
      <c r="B482" t="s">
        <v>253</v>
      </c>
      <c r="C482" t="s">
        <v>500</v>
      </c>
      <c r="D482" t="s">
        <v>502</v>
      </c>
      <c r="E482">
        <v>56</v>
      </c>
      <c r="F482">
        <v>24.94</v>
      </c>
      <c r="G482">
        <v>26.704999999999998</v>
      </c>
      <c r="H482">
        <v>77.66</v>
      </c>
      <c r="I482">
        <v>0</v>
      </c>
      <c r="J482">
        <v>176.5</v>
      </c>
      <c r="K482">
        <v>0.12637472791843279</v>
      </c>
    </row>
    <row r="483" spans="1:11" x14ac:dyDescent="0.3">
      <c r="A483" s="37">
        <v>1</v>
      </c>
      <c r="B483" t="s">
        <v>254</v>
      </c>
      <c r="C483" t="s">
        <v>500</v>
      </c>
      <c r="D483" t="s">
        <v>502</v>
      </c>
      <c r="E483">
        <v>56</v>
      </c>
      <c r="F483">
        <v>24.94</v>
      </c>
      <c r="G483">
        <v>26.7</v>
      </c>
      <c r="H483">
        <v>77.66</v>
      </c>
      <c r="I483">
        <v>0</v>
      </c>
      <c r="J483">
        <v>176.21999999999991</v>
      </c>
      <c r="K483">
        <v>0.12617424676366129</v>
      </c>
    </row>
    <row r="484" spans="1:11" x14ac:dyDescent="0.3">
      <c r="A484" s="37">
        <v>1</v>
      </c>
      <c r="B484" t="s">
        <v>255</v>
      </c>
      <c r="C484" t="s">
        <v>500</v>
      </c>
      <c r="D484" t="s">
        <v>502</v>
      </c>
      <c r="E484">
        <v>56</v>
      </c>
      <c r="F484">
        <v>24.94</v>
      </c>
      <c r="G484">
        <v>26.695</v>
      </c>
      <c r="H484">
        <v>77.66</v>
      </c>
      <c r="I484">
        <v>0</v>
      </c>
      <c r="J484">
        <v>175.93999999999991</v>
      </c>
      <c r="K484">
        <v>0.12597376560888979</v>
      </c>
    </row>
    <row r="485" spans="1:11" x14ac:dyDescent="0.3">
      <c r="A485" s="37">
        <v>1</v>
      </c>
      <c r="B485" t="s">
        <v>256</v>
      </c>
      <c r="C485" t="s">
        <v>500</v>
      </c>
      <c r="D485" t="s">
        <v>502</v>
      </c>
      <c r="E485">
        <v>56</v>
      </c>
      <c r="F485">
        <v>24.94</v>
      </c>
      <c r="G485">
        <v>26.69</v>
      </c>
      <c r="H485">
        <v>77.66</v>
      </c>
      <c r="I485">
        <v>0</v>
      </c>
      <c r="J485">
        <v>175.66</v>
      </c>
      <c r="K485">
        <v>0.12577328445411851</v>
      </c>
    </row>
    <row r="486" spans="1:11" x14ac:dyDescent="0.3">
      <c r="A486" s="37">
        <v>1</v>
      </c>
      <c r="B486" t="s">
        <v>257</v>
      </c>
      <c r="C486" t="s">
        <v>500</v>
      </c>
      <c r="D486" t="s">
        <v>502</v>
      </c>
      <c r="E486">
        <v>56</v>
      </c>
      <c r="F486">
        <v>24.94</v>
      </c>
      <c r="G486">
        <v>26.684999999999999</v>
      </c>
      <c r="H486">
        <v>77.66</v>
      </c>
      <c r="I486">
        <v>0</v>
      </c>
      <c r="J486">
        <v>175.38000000000011</v>
      </c>
      <c r="K486">
        <v>0.125572803299347</v>
      </c>
    </row>
    <row r="487" spans="1:11" x14ac:dyDescent="0.3">
      <c r="A487" s="37">
        <v>1</v>
      </c>
      <c r="B487" t="s">
        <v>258</v>
      </c>
      <c r="C487" t="s">
        <v>500</v>
      </c>
      <c r="D487" t="s">
        <v>502</v>
      </c>
      <c r="E487">
        <v>56</v>
      </c>
      <c r="F487">
        <v>24.94</v>
      </c>
      <c r="G487">
        <v>26.68</v>
      </c>
      <c r="H487">
        <v>77.66</v>
      </c>
      <c r="I487">
        <v>0</v>
      </c>
      <c r="J487">
        <v>175.09999999999991</v>
      </c>
      <c r="K487">
        <v>0.1253723221445755</v>
      </c>
    </row>
    <row r="488" spans="1:11" x14ac:dyDescent="0.3">
      <c r="A488" s="37">
        <v>1</v>
      </c>
      <c r="B488" t="s">
        <v>259</v>
      </c>
      <c r="C488" t="s">
        <v>500</v>
      </c>
      <c r="D488" t="s">
        <v>502</v>
      </c>
      <c r="E488">
        <v>56</v>
      </c>
      <c r="F488">
        <v>24.94</v>
      </c>
      <c r="G488">
        <v>26.675000000000001</v>
      </c>
      <c r="H488">
        <v>77.66</v>
      </c>
      <c r="I488">
        <v>0</v>
      </c>
      <c r="J488">
        <v>174.82</v>
      </c>
      <c r="K488">
        <v>0.12517184098980411</v>
      </c>
    </row>
    <row r="489" spans="1:11" x14ac:dyDescent="0.3">
      <c r="A489" s="37">
        <v>1</v>
      </c>
      <c r="B489" t="s">
        <v>260</v>
      </c>
      <c r="C489" t="s">
        <v>500</v>
      </c>
      <c r="D489" t="s">
        <v>502</v>
      </c>
      <c r="E489">
        <v>56</v>
      </c>
      <c r="F489">
        <v>24.94</v>
      </c>
      <c r="G489">
        <v>26.67</v>
      </c>
      <c r="H489">
        <v>77.66</v>
      </c>
      <c r="I489">
        <v>0</v>
      </c>
      <c r="J489">
        <v>174.54</v>
      </c>
      <c r="K489">
        <v>0.1249713598350327</v>
      </c>
    </row>
    <row r="490" spans="1:11" x14ac:dyDescent="0.3">
      <c r="A490" s="37">
        <v>1</v>
      </c>
      <c r="B490" t="s">
        <v>261</v>
      </c>
      <c r="C490" t="s">
        <v>500</v>
      </c>
      <c r="D490" t="s">
        <v>502</v>
      </c>
      <c r="E490">
        <v>56</v>
      </c>
      <c r="F490">
        <v>24.94</v>
      </c>
      <c r="G490">
        <v>26.664999999999999</v>
      </c>
      <c r="H490">
        <v>77.66</v>
      </c>
      <c r="I490">
        <v>0</v>
      </c>
      <c r="J490">
        <v>174.25999999999991</v>
      </c>
      <c r="K490">
        <v>0.1247708786802611</v>
      </c>
    </row>
    <row r="491" spans="1:11" x14ac:dyDescent="0.3">
      <c r="A491" s="37">
        <v>1</v>
      </c>
      <c r="B491" t="s">
        <v>262</v>
      </c>
      <c r="C491" t="s">
        <v>500</v>
      </c>
      <c r="D491" t="s">
        <v>502</v>
      </c>
      <c r="E491">
        <v>56</v>
      </c>
      <c r="F491">
        <v>24.94</v>
      </c>
      <c r="G491">
        <v>26.66</v>
      </c>
      <c r="H491">
        <v>77.66</v>
      </c>
      <c r="I491">
        <v>0</v>
      </c>
      <c r="J491">
        <v>173.9799999999999</v>
      </c>
      <c r="K491">
        <v>0.12457039752548971</v>
      </c>
    </row>
    <row r="492" spans="1:11" x14ac:dyDescent="0.3">
      <c r="A492" s="37">
        <v>1</v>
      </c>
      <c r="B492" t="s">
        <v>263</v>
      </c>
      <c r="C492" t="s">
        <v>500</v>
      </c>
      <c r="D492" t="s">
        <v>502</v>
      </c>
      <c r="E492">
        <v>56</v>
      </c>
      <c r="F492">
        <v>24.94</v>
      </c>
      <c r="G492">
        <v>26.655000000000001</v>
      </c>
      <c r="H492">
        <v>77.66</v>
      </c>
      <c r="I492">
        <v>0</v>
      </c>
      <c r="J492">
        <v>173.7</v>
      </c>
      <c r="K492">
        <v>0.1243699163707183</v>
      </c>
    </row>
    <row r="493" spans="1:11" x14ac:dyDescent="0.3">
      <c r="A493" s="37">
        <v>1</v>
      </c>
      <c r="B493" t="s">
        <v>264</v>
      </c>
      <c r="C493" t="s">
        <v>500</v>
      </c>
      <c r="D493" t="s">
        <v>502</v>
      </c>
      <c r="E493">
        <v>56</v>
      </c>
      <c r="F493">
        <v>24.94</v>
      </c>
      <c r="G493">
        <v>26.65</v>
      </c>
      <c r="H493">
        <v>77.66</v>
      </c>
      <c r="I493">
        <v>0</v>
      </c>
      <c r="J493">
        <v>173.42</v>
      </c>
      <c r="K493">
        <v>0.12416943521594689</v>
      </c>
    </row>
    <row r="494" spans="1:11" x14ac:dyDescent="0.3">
      <c r="A494" s="37">
        <v>1</v>
      </c>
      <c r="B494" t="s">
        <v>265</v>
      </c>
      <c r="C494" t="s">
        <v>500</v>
      </c>
      <c r="D494" t="s">
        <v>502</v>
      </c>
      <c r="E494">
        <v>56</v>
      </c>
      <c r="F494">
        <v>24.94</v>
      </c>
      <c r="G494">
        <v>26.645</v>
      </c>
      <c r="H494">
        <v>77.66</v>
      </c>
      <c r="I494">
        <v>0</v>
      </c>
      <c r="J494">
        <v>173.1399999999999</v>
      </c>
      <c r="K494">
        <v>0.12396895406117529</v>
      </c>
    </row>
    <row r="495" spans="1:11" x14ac:dyDescent="0.3">
      <c r="A495" s="37">
        <v>1</v>
      </c>
      <c r="B495" t="s">
        <v>266</v>
      </c>
      <c r="C495" t="s">
        <v>500</v>
      </c>
      <c r="D495" t="s">
        <v>502</v>
      </c>
      <c r="E495">
        <v>56</v>
      </c>
      <c r="F495">
        <v>24.94</v>
      </c>
      <c r="G495">
        <v>26.64</v>
      </c>
      <c r="H495">
        <v>77.66</v>
      </c>
      <c r="I495">
        <v>0</v>
      </c>
      <c r="J495">
        <v>172.86</v>
      </c>
      <c r="K495">
        <v>0.1237684729064039</v>
      </c>
    </row>
    <row r="496" spans="1:11" x14ac:dyDescent="0.3">
      <c r="A496" s="37">
        <v>1</v>
      </c>
      <c r="B496" t="s">
        <v>267</v>
      </c>
      <c r="C496" t="s">
        <v>500</v>
      </c>
      <c r="D496" t="s">
        <v>502</v>
      </c>
      <c r="E496">
        <v>56</v>
      </c>
      <c r="F496">
        <v>24.94</v>
      </c>
      <c r="G496">
        <v>26.635000000000002</v>
      </c>
      <c r="H496">
        <v>77.66</v>
      </c>
      <c r="I496">
        <v>0</v>
      </c>
      <c r="J496">
        <v>172.58</v>
      </c>
      <c r="K496">
        <v>0.12356799175163249</v>
      </c>
    </row>
    <row r="497" spans="1:11" x14ac:dyDescent="0.3">
      <c r="A497" s="37">
        <v>1</v>
      </c>
      <c r="B497" t="s">
        <v>268</v>
      </c>
      <c r="C497" t="s">
        <v>500</v>
      </c>
      <c r="D497" t="s">
        <v>502</v>
      </c>
      <c r="E497">
        <v>56</v>
      </c>
      <c r="F497">
        <v>24.94</v>
      </c>
      <c r="G497">
        <v>26.63</v>
      </c>
      <c r="H497">
        <v>77.66</v>
      </c>
      <c r="I497">
        <v>0</v>
      </c>
      <c r="J497">
        <v>172.3000000000001</v>
      </c>
      <c r="K497">
        <v>0.1233675105968611</v>
      </c>
    </row>
    <row r="498" spans="1:11" x14ac:dyDescent="0.3">
      <c r="A498" s="37">
        <v>1</v>
      </c>
      <c r="B498" t="s">
        <v>269</v>
      </c>
      <c r="C498" t="s">
        <v>500</v>
      </c>
      <c r="D498" t="s">
        <v>502</v>
      </c>
      <c r="E498">
        <v>56</v>
      </c>
      <c r="F498">
        <v>24.94</v>
      </c>
      <c r="G498">
        <v>26.625</v>
      </c>
      <c r="H498">
        <v>77.66</v>
      </c>
      <c r="I498">
        <v>0</v>
      </c>
      <c r="J498">
        <v>172.0199999999999</v>
      </c>
      <c r="K498">
        <v>0.1231670294420895</v>
      </c>
    </row>
    <row r="499" spans="1:11" x14ac:dyDescent="0.3">
      <c r="A499" s="37">
        <v>1</v>
      </c>
      <c r="B499" t="s">
        <v>270</v>
      </c>
      <c r="C499" t="s">
        <v>500</v>
      </c>
      <c r="D499" t="s">
        <v>502</v>
      </c>
      <c r="E499">
        <v>56</v>
      </c>
      <c r="F499">
        <v>24.94</v>
      </c>
      <c r="G499">
        <v>26.62</v>
      </c>
      <c r="H499">
        <v>77.66</v>
      </c>
      <c r="I499">
        <v>0</v>
      </c>
      <c r="J499">
        <v>171.74</v>
      </c>
      <c r="K499">
        <v>0.12296654828731809</v>
      </c>
    </row>
    <row r="500" spans="1:11" x14ac:dyDescent="0.3">
      <c r="A500" s="37">
        <v>1</v>
      </c>
      <c r="B500" t="s">
        <v>271</v>
      </c>
      <c r="C500" t="s">
        <v>500</v>
      </c>
      <c r="D500" t="s">
        <v>502</v>
      </c>
      <c r="E500">
        <v>56</v>
      </c>
      <c r="F500">
        <v>24.94</v>
      </c>
      <c r="G500">
        <v>26.614999999999998</v>
      </c>
      <c r="H500">
        <v>77.66</v>
      </c>
      <c r="I500">
        <v>0</v>
      </c>
      <c r="J500">
        <v>171.46</v>
      </c>
      <c r="K500">
        <v>0.1227660671325467</v>
      </c>
    </row>
    <row r="501" spans="1:11" x14ac:dyDescent="0.3">
      <c r="A501" s="37">
        <v>1</v>
      </c>
      <c r="B501" t="s">
        <v>272</v>
      </c>
      <c r="C501" t="s">
        <v>500</v>
      </c>
      <c r="D501" t="s">
        <v>502</v>
      </c>
      <c r="E501">
        <v>56</v>
      </c>
      <c r="F501">
        <v>24.94</v>
      </c>
      <c r="G501">
        <v>26.61</v>
      </c>
      <c r="H501">
        <v>77.66</v>
      </c>
      <c r="I501">
        <v>0</v>
      </c>
      <c r="J501">
        <v>171.17999999999989</v>
      </c>
      <c r="K501">
        <v>0.1225655859777751</v>
      </c>
    </row>
    <row r="502" spans="1:11" x14ac:dyDescent="0.3">
      <c r="A502" s="37">
        <v>1</v>
      </c>
      <c r="B502" t="s">
        <v>273</v>
      </c>
      <c r="C502" t="s">
        <v>500</v>
      </c>
      <c r="D502" t="s">
        <v>502</v>
      </c>
      <c r="E502">
        <v>56</v>
      </c>
      <c r="F502">
        <v>24.94</v>
      </c>
      <c r="G502">
        <v>26.605</v>
      </c>
      <c r="H502">
        <v>77.66</v>
      </c>
      <c r="I502">
        <v>0</v>
      </c>
      <c r="J502">
        <v>170.89999999999989</v>
      </c>
      <c r="K502">
        <v>0.1223651048230037</v>
      </c>
    </row>
    <row r="503" spans="1:11" x14ac:dyDescent="0.3">
      <c r="A503" s="37">
        <v>1</v>
      </c>
      <c r="B503" t="s">
        <v>274</v>
      </c>
      <c r="C503" t="s">
        <v>500</v>
      </c>
      <c r="D503" t="s">
        <v>502</v>
      </c>
      <c r="E503">
        <v>56</v>
      </c>
      <c r="F503">
        <v>24.94</v>
      </c>
      <c r="G503">
        <v>26.6</v>
      </c>
      <c r="H503">
        <v>77.66</v>
      </c>
      <c r="I503">
        <v>0</v>
      </c>
      <c r="J503">
        <v>170.62</v>
      </c>
      <c r="K503">
        <v>0.1221646236682323</v>
      </c>
    </row>
    <row r="504" spans="1:11" x14ac:dyDescent="0.3">
      <c r="A504" s="37">
        <v>1</v>
      </c>
      <c r="B504" t="s">
        <v>275</v>
      </c>
      <c r="C504" t="s">
        <v>500</v>
      </c>
      <c r="D504" t="s">
        <v>502</v>
      </c>
      <c r="E504">
        <v>56</v>
      </c>
      <c r="F504">
        <v>24.94</v>
      </c>
      <c r="G504">
        <v>26.594999999999999</v>
      </c>
      <c r="H504">
        <v>77.66</v>
      </c>
      <c r="I504">
        <v>0</v>
      </c>
      <c r="J504">
        <v>170.34000000000009</v>
      </c>
      <c r="K504">
        <v>0.1219641425134609</v>
      </c>
    </row>
    <row r="505" spans="1:11" x14ac:dyDescent="0.3">
      <c r="A505" s="37">
        <v>1</v>
      </c>
      <c r="B505" t="s">
        <v>276</v>
      </c>
      <c r="C505" t="s">
        <v>500</v>
      </c>
      <c r="D505" t="s">
        <v>502</v>
      </c>
      <c r="E505">
        <v>56</v>
      </c>
      <c r="F505">
        <v>24.94</v>
      </c>
      <c r="G505">
        <v>26.59</v>
      </c>
      <c r="H505">
        <v>77.66</v>
      </c>
      <c r="I505">
        <v>0</v>
      </c>
      <c r="J505">
        <v>170.05999999999989</v>
      </c>
      <c r="K505">
        <v>0.12176366135868941</v>
      </c>
    </row>
    <row r="506" spans="1:11" x14ac:dyDescent="0.3">
      <c r="A506" s="37">
        <v>1</v>
      </c>
      <c r="B506" t="s">
        <v>277</v>
      </c>
      <c r="C506" t="s">
        <v>500</v>
      </c>
      <c r="D506" t="s">
        <v>502</v>
      </c>
      <c r="E506">
        <v>56</v>
      </c>
      <c r="F506">
        <v>24.94</v>
      </c>
      <c r="G506">
        <v>26.585000000000001</v>
      </c>
      <c r="H506">
        <v>77.66</v>
      </c>
      <c r="I506">
        <v>0</v>
      </c>
      <c r="J506">
        <v>169.78</v>
      </c>
      <c r="K506">
        <v>0.1215631802039179</v>
      </c>
    </row>
    <row r="507" spans="1:11" x14ac:dyDescent="0.3">
      <c r="A507" s="37">
        <v>1</v>
      </c>
      <c r="B507" t="s">
        <v>278</v>
      </c>
      <c r="C507" t="s">
        <v>500</v>
      </c>
      <c r="D507" t="s">
        <v>502</v>
      </c>
      <c r="E507">
        <v>56</v>
      </c>
      <c r="F507">
        <v>24.94</v>
      </c>
      <c r="G507">
        <v>26.58</v>
      </c>
      <c r="H507">
        <v>77.66</v>
      </c>
      <c r="I507">
        <v>0</v>
      </c>
      <c r="J507">
        <v>169.5</v>
      </c>
      <c r="K507">
        <v>0.1213626990491465</v>
      </c>
    </row>
    <row r="508" spans="1:11" x14ac:dyDescent="0.3">
      <c r="A508" s="37">
        <v>1</v>
      </c>
      <c r="B508" t="s">
        <v>279</v>
      </c>
      <c r="C508" t="s">
        <v>500</v>
      </c>
      <c r="D508" t="s">
        <v>502</v>
      </c>
      <c r="E508">
        <v>56</v>
      </c>
      <c r="F508">
        <v>24.94</v>
      </c>
      <c r="G508">
        <v>26.574999999999999</v>
      </c>
      <c r="H508">
        <v>77.66</v>
      </c>
      <c r="I508">
        <v>0</v>
      </c>
      <c r="J508">
        <v>169.21999999999991</v>
      </c>
      <c r="K508">
        <v>0.12116221789437499</v>
      </c>
    </row>
    <row r="509" spans="1:11" x14ac:dyDescent="0.3">
      <c r="A509" s="37">
        <v>1</v>
      </c>
      <c r="B509" t="s">
        <v>280</v>
      </c>
      <c r="C509" t="s">
        <v>500</v>
      </c>
      <c r="D509" t="s">
        <v>502</v>
      </c>
      <c r="E509">
        <v>56</v>
      </c>
      <c r="F509">
        <v>24.94</v>
      </c>
      <c r="G509">
        <v>26.57</v>
      </c>
      <c r="H509">
        <v>77.66</v>
      </c>
      <c r="I509">
        <v>0</v>
      </c>
      <c r="J509">
        <v>168.93999999999991</v>
      </c>
      <c r="K509">
        <v>0.1209617367396036</v>
      </c>
    </row>
    <row r="510" spans="1:11" x14ac:dyDescent="0.3">
      <c r="A510" s="37">
        <v>1</v>
      </c>
      <c r="B510" t="s">
        <v>281</v>
      </c>
      <c r="C510" t="s">
        <v>500</v>
      </c>
      <c r="D510" t="s">
        <v>502</v>
      </c>
      <c r="E510">
        <v>56</v>
      </c>
      <c r="F510">
        <v>24.94</v>
      </c>
      <c r="G510">
        <v>26.565000000000001</v>
      </c>
      <c r="H510">
        <v>77.66</v>
      </c>
      <c r="I510">
        <v>0</v>
      </c>
      <c r="J510">
        <v>168.66</v>
      </c>
      <c r="K510">
        <v>0.12076125558483219</v>
      </c>
    </row>
    <row r="511" spans="1:11" x14ac:dyDescent="0.3">
      <c r="A511" s="37">
        <v>1</v>
      </c>
      <c r="B511" t="s">
        <v>282</v>
      </c>
      <c r="C511" t="s">
        <v>500</v>
      </c>
      <c r="D511" t="s">
        <v>502</v>
      </c>
      <c r="E511">
        <v>56</v>
      </c>
      <c r="F511">
        <v>24.94</v>
      </c>
      <c r="G511">
        <v>26.56</v>
      </c>
      <c r="H511">
        <v>77.66</v>
      </c>
      <c r="I511">
        <v>0</v>
      </c>
      <c r="J511">
        <v>168.38000000000011</v>
      </c>
      <c r="K511">
        <v>0.1205607744300607</v>
      </c>
    </row>
    <row r="512" spans="1:11" x14ac:dyDescent="0.3">
      <c r="A512" s="37">
        <v>1</v>
      </c>
      <c r="B512" t="s">
        <v>283</v>
      </c>
      <c r="C512" t="s">
        <v>500</v>
      </c>
      <c r="D512" t="s">
        <v>502</v>
      </c>
      <c r="E512">
        <v>56</v>
      </c>
      <c r="F512">
        <v>24.94</v>
      </c>
      <c r="G512">
        <v>26.555</v>
      </c>
      <c r="H512">
        <v>77.66</v>
      </c>
      <c r="I512">
        <v>0</v>
      </c>
      <c r="J512">
        <v>168.09999999999991</v>
      </c>
      <c r="K512">
        <v>0.1203602932752892</v>
      </c>
    </row>
    <row r="513" spans="1:11" x14ac:dyDescent="0.3">
      <c r="A513" s="37">
        <v>1</v>
      </c>
      <c r="B513" t="s">
        <v>284</v>
      </c>
      <c r="C513" t="s">
        <v>500</v>
      </c>
      <c r="D513" t="s">
        <v>502</v>
      </c>
      <c r="E513">
        <v>56</v>
      </c>
      <c r="F513">
        <v>24.94</v>
      </c>
      <c r="G513">
        <v>26.55</v>
      </c>
      <c r="H513">
        <v>77.66</v>
      </c>
      <c r="I513">
        <v>0</v>
      </c>
      <c r="J513">
        <v>167.82</v>
      </c>
      <c r="K513">
        <v>0.12015981212051779</v>
      </c>
    </row>
    <row r="514" spans="1:11" x14ac:dyDescent="0.3">
      <c r="A514" s="37">
        <v>1</v>
      </c>
      <c r="B514" t="s">
        <v>285</v>
      </c>
      <c r="C514" t="s">
        <v>500</v>
      </c>
      <c r="D514" t="s">
        <v>502</v>
      </c>
      <c r="E514">
        <v>56</v>
      </c>
      <c r="F514">
        <v>24.94</v>
      </c>
      <c r="G514">
        <v>26.602333333333331</v>
      </c>
      <c r="H514">
        <v>101.5</v>
      </c>
      <c r="I514">
        <v>0</v>
      </c>
      <c r="J514">
        <v>194.59066666666661</v>
      </c>
      <c r="K514">
        <v>0.1393277198609997</v>
      </c>
    </row>
    <row r="515" spans="1:11" x14ac:dyDescent="0.3">
      <c r="A515" s="37">
        <v>1</v>
      </c>
      <c r="B515" t="s">
        <v>286</v>
      </c>
      <c r="C515" t="s">
        <v>500</v>
      </c>
      <c r="D515" t="s">
        <v>502</v>
      </c>
      <c r="E515">
        <v>56</v>
      </c>
      <c r="F515">
        <v>24.94</v>
      </c>
      <c r="G515">
        <v>26.654666666666671</v>
      </c>
      <c r="H515">
        <v>101.5</v>
      </c>
      <c r="I515">
        <v>0</v>
      </c>
      <c r="J515">
        <v>197.5213333333333</v>
      </c>
      <c r="K515">
        <v>0.14142608928094089</v>
      </c>
    </row>
    <row r="516" spans="1:11" x14ac:dyDescent="0.3">
      <c r="A516" s="37">
        <v>1</v>
      </c>
      <c r="B516" t="s">
        <v>287</v>
      </c>
      <c r="C516" t="s">
        <v>500</v>
      </c>
      <c r="D516" t="s">
        <v>502</v>
      </c>
      <c r="E516">
        <v>56</v>
      </c>
      <c r="F516">
        <v>24.94</v>
      </c>
      <c r="G516">
        <v>26.707000000000001</v>
      </c>
      <c r="H516">
        <v>101.5</v>
      </c>
      <c r="I516">
        <v>0</v>
      </c>
      <c r="J516">
        <v>200.452</v>
      </c>
      <c r="K516">
        <v>0.1435244587008821</v>
      </c>
    </row>
    <row r="517" spans="1:11" x14ac:dyDescent="0.3">
      <c r="A517" s="37">
        <v>1</v>
      </c>
      <c r="B517" t="s">
        <v>288</v>
      </c>
      <c r="C517" t="s">
        <v>500</v>
      </c>
      <c r="D517" t="s">
        <v>502</v>
      </c>
      <c r="E517">
        <v>56</v>
      </c>
      <c r="F517">
        <v>24.94</v>
      </c>
      <c r="G517">
        <v>26.759333333333331</v>
      </c>
      <c r="H517">
        <v>101.5</v>
      </c>
      <c r="I517">
        <v>0</v>
      </c>
      <c r="J517">
        <v>203.38266666666661</v>
      </c>
      <c r="K517">
        <v>0.14562282812082331</v>
      </c>
    </row>
    <row r="518" spans="1:11" x14ac:dyDescent="0.3">
      <c r="A518" s="37">
        <v>1</v>
      </c>
      <c r="B518" t="s">
        <v>289</v>
      </c>
      <c r="C518" t="s">
        <v>500</v>
      </c>
      <c r="D518" t="s">
        <v>502</v>
      </c>
      <c r="E518">
        <v>56</v>
      </c>
      <c r="F518">
        <v>24.94</v>
      </c>
      <c r="G518">
        <v>26.811666666666671</v>
      </c>
      <c r="H518">
        <v>101.5</v>
      </c>
      <c r="I518">
        <v>0</v>
      </c>
      <c r="J518">
        <v>206.3133333333333</v>
      </c>
      <c r="K518">
        <v>0.14772119754076449</v>
      </c>
    </row>
    <row r="519" spans="1:11" x14ac:dyDescent="0.3">
      <c r="A519" s="37">
        <v>1</v>
      </c>
      <c r="B519" t="s">
        <v>290</v>
      </c>
      <c r="C519" t="s">
        <v>500</v>
      </c>
      <c r="D519" t="s">
        <v>502</v>
      </c>
      <c r="E519">
        <v>56</v>
      </c>
      <c r="F519">
        <v>24.94</v>
      </c>
      <c r="G519">
        <v>26.864000000000001</v>
      </c>
      <c r="H519">
        <v>101.5</v>
      </c>
      <c r="I519">
        <v>0</v>
      </c>
      <c r="J519">
        <v>209.244</v>
      </c>
      <c r="K519">
        <v>0.1498195669607057</v>
      </c>
    </row>
    <row r="520" spans="1:11" x14ac:dyDescent="0.3">
      <c r="A520" s="37">
        <v>1</v>
      </c>
      <c r="B520" t="s">
        <v>291</v>
      </c>
      <c r="C520" t="s">
        <v>500</v>
      </c>
      <c r="D520" t="s">
        <v>502</v>
      </c>
      <c r="E520">
        <v>56</v>
      </c>
      <c r="F520">
        <v>24.94</v>
      </c>
      <c r="G520">
        <v>26.916333333333331</v>
      </c>
      <c r="H520">
        <v>101.5</v>
      </c>
      <c r="I520">
        <v>0</v>
      </c>
      <c r="J520">
        <v>212.17466666666661</v>
      </c>
      <c r="K520">
        <v>0.15191793638064691</v>
      </c>
    </row>
    <row r="521" spans="1:11" x14ac:dyDescent="0.3">
      <c r="A521" s="37">
        <v>1</v>
      </c>
      <c r="B521" t="s">
        <v>292</v>
      </c>
      <c r="C521" t="s">
        <v>500</v>
      </c>
      <c r="D521" t="s">
        <v>502</v>
      </c>
      <c r="E521">
        <v>56</v>
      </c>
      <c r="F521">
        <v>24.94</v>
      </c>
      <c r="G521">
        <v>26.968666666666671</v>
      </c>
      <c r="H521">
        <v>101.5</v>
      </c>
      <c r="I521">
        <v>0</v>
      </c>
      <c r="J521">
        <v>215.10533333333331</v>
      </c>
      <c r="K521">
        <v>0.15401630580058809</v>
      </c>
    </row>
    <row r="522" spans="1:11" x14ac:dyDescent="0.3">
      <c r="A522" s="37">
        <v>1</v>
      </c>
      <c r="B522" t="s">
        <v>293</v>
      </c>
      <c r="C522" t="s">
        <v>500</v>
      </c>
      <c r="D522" t="s">
        <v>502</v>
      </c>
      <c r="E522">
        <v>56</v>
      </c>
      <c r="F522">
        <v>24.94</v>
      </c>
      <c r="G522">
        <v>27.021000000000001</v>
      </c>
      <c r="H522">
        <v>101.5</v>
      </c>
      <c r="I522">
        <v>0</v>
      </c>
      <c r="J522">
        <v>218.036</v>
      </c>
      <c r="K522">
        <v>0.15611467522052919</v>
      </c>
    </row>
    <row r="523" spans="1:11" x14ac:dyDescent="0.3">
      <c r="A523" s="37">
        <v>1</v>
      </c>
      <c r="B523" t="s">
        <v>294</v>
      </c>
      <c r="C523" t="s">
        <v>500</v>
      </c>
      <c r="D523" t="s">
        <v>502</v>
      </c>
      <c r="E523">
        <v>56</v>
      </c>
      <c r="F523">
        <v>24.94</v>
      </c>
      <c r="G523">
        <v>27.073333333333331</v>
      </c>
      <c r="H523">
        <v>101.5</v>
      </c>
      <c r="I523">
        <v>0</v>
      </c>
      <c r="J523">
        <v>220.96666666666661</v>
      </c>
      <c r="K523">
        <v>0.1582130446404704</v>
      </c>
    </row>
    <row r="524" spans="1:11" x14ac:dyDescent="0.3">
      <c r="A524" s="37">
        <v>1</v>
      </c>
      <c r="B524" t="s">
        <v>295</v>
      </c>
      <c r="C524" t="s">
        <v>500</v>
      </c>
      <c r="D524" t="s">
        <v>502</v>
      </c>
      <c r="E524">
        <v>56</v>
      </c>
      <c r="F524">
        <v>24.94</v>
      </c>
      <c r="G524">
        <v>27.125666666666671</v>
      </c>
      <c r="H524">
        <v>101.5</v>
      </c>
      <c r="I524">
        <v>0</v>
      </c>
      <c r="J524">
        <v>223.89733333333331</v>
      </c>
      <c r="K524">
        <v>0.16031141406041161</v>
      </c>
    </row>
    <row r="525" spans="1:11" x14ac:dyDescent="0.3">
      <c r="A525" s="37">
        <v>1</v>
      </c>
      <c r="B525" t="s">
        <v>296</v>
      </c>
      <c r="C525" t="s">
        <v>500</v>
      </c>
      <c r="D525" t="s">
        <v>502</v>
      </c>
      <c r="E525">
        <v>56</v>
      </c>
      <c r="F525">
        <v>24.94</v>
      </c>
      <c r="G525">
        <v>27.178000000000001</v>
      </c>
      <c r="H525">
        <v>101.5</v>
      </c>
      <c r="I525">
        <v>0</v>
      </c>
      <c r="J525">
        <v>226.828</v>
      </c>
      <c r="K525">
        <v>0.16240978348035279</v>
      </c>
    </row>
    <row r="526" spans="1:11" x14ac:dyDescent="0.3">
      <c r="A526" s="37">
        <v>1</v>
      </c>
      <c r="B526" t="s">
        <v>297</v>
      </c>
      <c r="C526" t="s">
        <v>500</v>
      </c>
      <c r="D526" t="s">
        <v>502</v>
      </c>
      <c r="E526">
        <v>56</v>
      </c>
      <c r="F526">
        <v>24.94</v>
      </c>
      <c r="G526">
        <v>27.230333333333331</v>
      </c>
      <c r="H526">
        <v>101.5</v>
      </c>
      <c r="I526">
        <v>0</v>
      </c>
      <c r="J526">
        <v>229.75866666666661</v>
      </c>
      <c r="K526">
        <v>0.164508152900294</v>
      </c>
    </row>
    <row r="527" spans="1:11" x14ac:dyDescent="0.3">
      <c r="A527" s="37">
        <v>1</v>
      </c>
      <c r="B527" t="s">
        <v>298</v>
      </c>
      <c r="C527" t="s">
        <v>500</v>
      </c>
      <c r="D527" t="s">
        <v>502</v>
      </c>
      <c r="E527">
        <v>56</v>
      </c>
      <c r="F527">
        <v>24.94</v>
      </c>
      <c r="G527">
        <v>27.282666666666671</v>
      </c>
      <c r="H527">
        <v>101.5</v>
      </c>
      <c r="I527">
        <v>0</v>
      </c>
      <c r="J527">
        <v>232.68933333333331</v>
      </c>
      <c r="K527">
        <v>0.16660652232023521</v>
      </c>
    </row>
    <row r="528" spans="1:11" x14ac:dyDescent="0.3">
      <c r="A528" s="37">
        <v>1</v>
      </c>
      <c r="B528" t="s">
        <v>299</v>
      </c>
      <c r="C528" t="s">
        <v>500</v>
      </c>
      <c r="D528" t="s">
        <v>502</v>
      </c>
      <c r="E528">
        <v>56</v>
      </c>
      <c r="F528">
        <v>24.94</v>
      </c>
      <c r="G528">
        <v>27.335000000000001</v>
      </c>
      <c r="H528">
        <v>101.5</v>
      </c>
      <c r="I528">
        <v>0</v>
      </c>
      <c r="J528">
        <v>235.62</v>
      </c>
      <c r="K528">
        <v>0.16870489174017639</v>
      </c>
    </row>
    <row r="529" spans="1:11" x14ac:dyDescent="0.3">
      <c r="A529" s="37">
        <v>1</v>
      </c>
      <c r="B529" t="s">
        <v>300</v>
      </c>
      <c r="C529" t="s">
        <v>500</v>
      </c>
      <c r="D529" t="s">
        <v>502</v>
      </c>
      <c r="E529">
        <v>56</v>
      </c>
      <c r="F529">
        <v>24.94</v>
      </c>
      <c r="G529">
        <v>27.387333333333331</v>
      </c>
      <c r="H529">
        <v>101.5</v>
      </c>
      <c r="I529">
        <v>0</v>
      </c>
      <c r="J529">
        <v>238.55066666666659</v>
      </c>
      <c r="K529">
        <v>0.1708032611601176</v>
      </c>
    </row>
    <row r="530" spans="1:11" x14ac:dyDescent="0.3">
      <c r="A530" s="37">
        <v>1</v>
      </c>
      <c r="B530" t="s">
        <v>301</v>
      </c>
      <c r="C530" t="s">
        <v>500</v>
      </c>
      <c r="D530" t="s">
        <v>502</v>
      </c>
      <c r="E530">
        <v>56</v>
      </c>
      <c r="F530">
        <v>24.94</v>
      </c>
      <c r="G530">
        <v>27.439666666666671</v>
      </c>
      <c r="H530">
        <v>101.5</v>
      </c>
      <c r="I530">
        <v>0</v>
      </c>
      <c r="J530">
        <v>241.48133333333331</v>
      </c>
      <c r="K530">
        <v>0.17290163058005881</v>
      </c>
    </row>
    <row r="531" spans="1:11" x14ac:dyDescent="0.3">
      <c r="A531" s="37">
        <v>1</v>
      </c>
      <c r="B531" t="s">
        <v>302</v>
      </c>
      <c r="C531" t="s">
        <v>500</v>
      </c>
      <c r="D531" t="s">
        <v>502</v>
      </c>
      <c r="E531">
        <v>56</v>
      </c>
      <c r="F531">
        <v>24.94</v>
      </c>
      <c r="G531">
        <v>27.492000000000001</v>
      </c>
      <c r="H531">
        <v>101.5</v>
      </c>
      <c r="I531">
        <v>0</v>
      </c>
      <c r="J531">
        <v>244.41200000000001</v>
      </c>
      <c r="K531">
        <v>0.17499999999999999</v>
      </c>
    </row>
    <row r="532" spans="1:11" x14ac:dyDescent="0.3">
      <c r="A532" s="37">
        <v>1</v>
      </c>
      <c r="B532" t="s">
        <v>303</v>
      </c>
      <c r="C532" t="s">
        <v>500</v>
      </c>
      <c r="D532" t="s">
        <v>502</v>
      </c>
      <c r="E532">
        <v>56</v>
      </c>
      <c r="F532">
        <v>24.94</v>
      </c>
      <c r="G532">
        <v>27.544333333333331</v>
      </c>
      <c r="H532">
        <v>101.5</v>
      </c>
      <c r="I532">
        <v>0</v>
      </c>
      <c r="J532">
        <v>247.34266666666659</v>
      </c>
      <c r="K532">
        <v>0.1770983694199412</v>
      </c>
    </row>
    <row r="533" spans="1:11" x14ac:dyDescent="0.3">
      <c r="A533" s="37">
        <v>1</v>
      </c>
      <c r="B533" t="s">
        <v>304</v>
      </c>
      <c r="C533" t="s">
        <v>500</v>
      </c>
      <c r="D533" t="s">
        <v>502</v>
      </c>
      <c r="E533">
        <v>56</v>
      </c>
      <c r="F533">
        <v>24.94</v>
      </c>
      <c r="G533">
        <v>27.596666666666671</v>
      </c>
      <c r="H533">
        <v>101.5</v>
      </c>
      <c r="I533">
        <v>0</v>
      </c>
      <c r="J533">
        <v>250.27333333333331</v>
      </c>
      <c r="K533">
        <v>0.17919673883988241</v>
      </c>
    </row>
    <row r="534" spans="1:11" x14ac:dyDescent="0.3">
      <c r="A534" s="37">
        <v>1</v>
      </c>
      <c r="B534" t="s">
        <v>305</v>
      </c>
      <c r="C534" t="s">
        <v>500</v>
      </c>
      <c r="D534" t="s">
        <v>502</v>
      </c>
      <c r="E534">
        <v>56</v>
      </c>
      <c r="F534">
        <v>24.94</v>
      </c>
      <c r="G534">
        <v>27.649000000000001</v>
      </c>
      <c r="H534">
        <v>101.5</v>
      </c>
      <c r="I534">
        <v>0</v>
      </c>
      <c r="J534">
        <v>253.20400000000001</v>
      </c>
      <c r="K534">
        <v>0.18129510825982359</v>
      </c>
    </row>
    <row r="535" spans="1:11" x14ac:dyDescent="0.3">
      <c r="A535" s="37">
        <v>1</v>
      </c>
      <c r="B535" t="s">
        <v>306</v>
      </c>
      <c r="C535" t="s">
        <v>500</v>
      </c>
      <c r="D535" t="s">
        <v>502</v>
      </c>
      <c r="E535">
        <v>56</v>
      </c>
      <c r="F535">
        <v>24.94</v>
      </c>
      <c r="G535">
        <v>27.701333333333331</v>
      </c>
      <c r="H535">
        <v>101.5</v>
      </c>
      <c r="I535">
        <v>0</v>
      </c>
      <c r="J535">
        <v>256.13466666666659</v>
      </c>
      <c r="K535">
        <v>0.18339347767976469</v>
      </c>
    </row>
    <row r="536" spans="1:11" x14ac:dyDescent="0.3">
      <c r="A536" s="37">
        <v>1</v>
      </c>
      <c r="B536" t="s">
        <v>307</v>
      </c>
      <c r="C536" t="s">
        <v>500</v>
      </c>
      <c r="D536" t="s">
        <v>502</v>
      </c>
      <c r="E536">
        <v>56</v>
      </c>
      <c r="F536">
        <v>24.94</v>
      </c>
      <c r="G536">
        <v>27.753666666666671</v>
      </c>
      <c r="H536">
        <v>101.5</v>
      </c>
      <c r="I536">
        <v>0</v>
      </c>
      <c r="J536">
        <v>259.06533333333329</v>
      </c>
      <c r="K536">
        <v>0.18549184709970601</v>
      </c>
    </row>
    <row r="537" spans="1:11" x14ac:dyDescent="0.3">
      <c r="A537" s="37">
        <v>1</v>
      </c>
      <c r="B537" t="s">
        <v>308</v>
      </c>
      <c r="C537" t="s">
        <v>500</v>
      </c>
      <c r="D537" t="s">
        <v>502</v>
      </c>
      <c r="E537">
        <v>56</v>
      </c>
      <c r="F537">
        <v>24.94</v>
      </c>
      <c r="G537">
        <v>27.806000000000001</v>
      </c>
      <c r="H537">
        <v>101.5</v>
      </c>
      <c r="I537">
        <v>0</v>
      </c>
      <c r="J537">
        <v>261.99599999999998</v>
      </c>
      <c r="K537">
        <v>0.18759021651964711</v>
      </c>
    </row>
    <row r="538" spans="1:11" x14ac:dyDescent="0.3">
      <c r="A538" s="37">
        <v>1</v>
      </c>
      <c r="B538" t="s">
        <v>309</v>
      </c>
      <c r="C538" t="s">
        <v>500</v>
      </c>
      <c r="D538" t="s">
        <v>502</v>
      </c>
      <c r="E538">
        <v>56</v>
      </c>
      <c r="F538">
        <v>24.94</v>
      </c>
      <c r="G538">
        <v>27.858333333333331</v>
      </c>
      <c r="H538">
        <v>101.5</v>
      </c>
      <c r="I538">
        <v>0</v>
      </c>
      <c r="J538">
        <v>264.92666666666662</v>
      </c>
      <c r="K538">
        <v>0.18968858593958829</v>
      </c>
    </row>
    <row r="539" spans="1:11" x14ac:dyDescent="0.3">
      <c r="A539" s="37">
        <v>1</v>
      </c>
      <c r="B539" t="s">
        <v>310</v>
      </c>
      <c r="C539" t="s">
        <v>500</v>
      </c>
      <c r="D539" t="s">
        <v>502</v>
      </c>
      <c r="E539">
        <v>56</v>
      </c>
      <c r="F539">
        <v>24.94</v>
      </c>
      <c r="G539">
        <v>27.910666666666671</v>
      </c>
      <c r="H539">
        <v>101.5</v>
      </c>
      <c r="I539">
        <v>0</v>
      </c>
      <c r="J539">
        <v>267.85733333333332</v>
      </c>
      <c r="K539">
        <v>0.1917869553595295</v>
      </c>
    </row>
    <row r="540" spans="1:11" x14ac:dyDescent="0.3">
      <c r="A540" s="37">
        <v>1</v>
      </c>
      <c r="B540" t="s">
        <v>311</v>
      </c>
      <c r="C540" t="s">
        <v>500</v>
      </c>
      <c r="D540" t="s">
        <v>502</v>
      </c>
      <c r="E540">
        <v>56</v>
      </c>
      <c r="F540">
        <v>24.94</v>
      </c>
      <c r="G540">
        <v>27.963000000000001</v>
      </c>
      <c r="H540">
        <v>101.5</v>
      </c>
      <c r="I540">
        <v>0</v>
      </c>
      <c r="J540">
        <v>270.78800000000001</v>
      </c>
      <c r="K540">
        <v>0.19388532477947071</v>
      </c>
    </row>
    <row r="541" spans="1:11" x14ac:dyDescent="0.3">
      <c r="A541" s="37">
        <v>1</v>
      </c>
      <c r="B541" t="s">
        <v>312</v>
      </c>
      <c r="C541" t="s">
        <v>500</v>
      </c>
      <c r="D541" t="s">
        <v>502</v>
      </c>
      <c r="E541">
        <v>56</v>
      </c>
      <c r="F541">
        <v>24.94</v>
      </c>
      <c r="G541">
        <v>28.015333333333331</v>
      </c>
      <c r="H541">
        <v>101.5</v>
      </c>
      <c r="I541">
        <v>0</v>
      </c>
      <c r="J541">
        <v>273.71866666666659</v>
      </c>
      <c r="K541">
        <v>0.19598369419941189</v>
      </c>
    </row>
    <row r="542" spans="1:11" x14ac:dyDescent="0.3">
      <c r="A542" s="37">
        <v>1</v>
      </c>
      <c r="B542" t="s">
        <v>313</v>
      </c>
      <c r="C542" t="s">
        <v>500</v>
      </c>
      <c r="D542" t="s">
        <v>502</v>
      </c>
      <c r="E542">
        <v>56</v>
      </c>
      <c r="F542">
        <v>24.94</v>
      </c>
      <c r="G542">
        <v>28.067666666666671</v>
      </c>
      <c r="H542">
        <v>101.5</v>
      </c>
      <c r="I542">
        <v>0</v>
      </c>
      <c r="J542">
        <v>276.64933333333329</v>
      </c>
      <c r="K542">
        <v>0.1980820636193531</v>
      </c>
    </row>
    <row r="543" spans="1:11" x14ac:dyDescent="0.3">
      <c r="A543" s="37">
        <v>1</v>
      </c>
      <c r="B543" t="s">
        <v>314</v>
      </c>
      <c r="C543" t="s">
        <v>500</v>
      </c>
      <c r="D543" t="s">
        <v>502</v>
      </c>
      <c r="E543">
        <v>56</v>
      </c>
      <c r="F543">
        <v>24.94</v>
      </c>
      <c r="G543">
        <v>28.12</v>
      </c>
      <c r="H543">
        <v>101.5</v>
      </c>
      <c r="I543">
        <v>0</v>
      </c>
      <c r="J543">
        <v>279.58</v>
      </c>
      <c r="K543">
        <v>0.20018043303929431</v>
      </c>
    </row>
    <row r="544" spans="1:11" x14ac:dyDescent="0.3">
      <c r="A544" s="37">
        <v>1</v>
      </c>
      <c r="B544" t="s">
        <v>315</v>
      </c>
      <c r="C544" t="s">
        <v>500</v>
      </c>
      <c r="D544" t="s">
        <v>502</v>
      </c>
      <c r="E544">
        <v>56</v>
      </c>
      <c r="F544">
        <v>24.94</v>
      </c>
      <c r="G544">
        <v>28.089677419354839</v>
      </c>
      <c r="H544">
        <v>101.5</v>
      </c>
      <c r="I544">
        <v>0</v>
      </c>
      <c r="J544">
        <v>277.8819354838709</v>
      </c>
      <c r="K544">
        <v>0.1989646118426158</v>
      </c>
    </row>
    <row r="545" spans="1:11" x14ac:dyDescent="0.3">
      <c r="A545" s="37">
        <v>1</v>
      </c>
      <c r="B545" t="s">
        <v>316</v>
      </c>
      <c r="C545" t="s">
        <v>500</v>
      </c>
      <c r="D545" t="s">
        <v>502</v>
      </c>
      <c r="E545">
        <v>56</v>
      </c>
      <c r="F545">
        <v>24.94</v>
      </c>
      <c r="G545">
        <v>28.05935483870968</v>
      </c>
      <c r="H545">
        <v>101.5</v>
      </c>
      <c r="I545">
        <v>0</v>
      </c>
      <c r="J545">
        <v>276.18387096774183</v>
      </c>
      <c r="K545">
        <v>0.19774879064593731</v>
      </c>
    </row>
    <row r="546" spans="1:11" x14ac:dyDescent="0.3">
      <c r="A546" s="37">
        <v>1</v>
      </c>
      <c r="B546" t="s">
        <v>317</v>
      </c>
      <c r="C546" t="s">
        <v>500</v>
      </c>
      <c r="D546" t="s">
        <v>502</v>
      </c>
      <c r="E546">
        <v>56</v>
      </c>
      <c r="F546">
        <v>24.94</v>
      </c>
      <c r="G546">
        <v>28.029032258064522</v>
      </c>
      <c r="H546">
        <v>101.5</v>
      </c>
      <c r="I546">
        <v>0</v>
      </c>
      <c r="J546">
        <v>274.48580645161292</v>
      </c>
      <c r="K546">
        <v>0.19653296944925891</v>
      </c>
    </row>
    <row r="547" spans="1:11" x14ac:dyDescent="0.3">
      <c r="A547" s="37">
        <v>1</v>
      </c>
      <c r="B547" t="s">
        <v>318</v>
      </c>
      <c r="C547" t="s">
        <v>500</v>
      </c>
      <c r="D547" t="s">
        <v>502</v>
      </c>
      <c r="E547">
        <v>56</v>
      </c>
      <c r="F547">
        <v>24.94</v>
      </c>
      <c r="G547">
        <v>27.99870967741936</v>
      </c>
      <c r="H547">
        <v>101.5</v>
      </c>
      <c r="I547">
        <v>0</v>
      </c>
      <c r="J547">
        <v>272.78774193548378</v>
      </c>
      <c r="K547">
        <v>0.19531714825258031</v>
      </c>
    </row>
    <row r="548" spans="1:11" x14ac:dyDescent="0.3">
      <c r="A548" s="37">
        <v>1</v>
      </c>
      <c r="B548" t="s">
        <v>319</v>
      </c>
      <c r="C548" t="s">
        <v>500</v>
      </c>
      <c r="D548" t="s">
        <v>502</v>
      </c>
      <c r="E548">
        <v>56</v>
      </c>
      <c r="F548">
        <v>24.94</v>
      </c>
      <c r="G548">
        <v>27.96838709677419</v>
      </c>
      <c r="H548">
        <v>101.5</v>
      </c>
      <c r="I548">
        <v>0</v>
      </c>
      <c r="J548">
        <v>271.08967741935481</v>
      </c>
      <c r="K548">
        <v>0.1941013270559018</v>
      </c>
    </row>
    <row r="549" spans="1:11" x14ac:dyDescent="0.3">
      <c r="A549" s="37">
        <v>1</v>
      </c>
      <c r="B549" t="s">
        <v>320</v>
      </c>
      <c r="C549" t="s">
        <v>500</v>
      </c>
      <c r="D549" t="s">
        <v>502</v>
      </c>
      <c r="E549">
        <v>56</v>
      </c>
      <c r="F549">
        <v>24.94</v>
      </c>
      <c r="G549">
        <v>27.938064516129032</v>
      </c>
      <c r="H549">
        <v>101.5</v>
      </c>
      <c r="I549">
        <v>0</v>
      </c>
      <c r="J549">
        <v>269.39161290322568</v>
      </c>
      <c r="K549">
        <v>0.19288550585922329</v>
      </c>
    </row>
    <row r="550" spans="1:11" x14ac:dyDescent="0.3">
      <c r="A550" s="37">
        <v>1</v>
      </c>
      <c r="B550" t="s">
        <v>321</v>
      </c>
      <c r="C550" t="s">
        <v>500</v>
      </c>
      <c r="D550" t="s">
        <v>502</v>
      </c>
      <c r="E550">
        <v>56</v>
      </c>
      <c r="F550">
        <v>24.94</v>
      </c>
      <c r="G550">
        <v>27.90774193548387</v>
      </c>
      <c r="H550">
        <v>101.5</v>
      </c>
      <c r="I550">
        <v>0</v>
      </c>
      <c r="J550">
        <v>267.69354838709683</v>
      </c>
      <c r="K550">
        <v>0.191669684662545</v>
      </c>
    </row>
    <row r="551" spans="1:11" x14ac:dyDescent="0.3">
      <c r="A551" s="37">
        <v>1</v>
      </c>
      <c r="B551" t="s">
        <v>322</v>
      </c>
      <c r="C551" t="s">
        <v>500</v>
      </c>
      <c r="D551" t="s">
        <v>502</v>
      </c>
      <c r="E551">
        <v>56</v>
      </c>
      <c r="F551">
        <v>24.94</v>
      </c>
      <c r="G551">
        <v>27.877419354838711</v>
      </c>
      <c r="H551">
        <v>101.5</v>
      </c>
      <c r="I551">
        <v>0</v>
      </c>
      <c r="J551">
        <v>265.99548387096769</v>
      </c>
      <c r="K551">
        <v>0.19045386346586651</v>
      </c>
    </row>
    <row r="552" spans="1:11" x14ac:dyDescent="0.3">
      <c r="A552" s="37">
        <v>1</v>
      </c>
      <c r="B552" t="s">
        <v>323</v>
      </c>
      <c r="C552" t="s">
        <v>500</v>
      </c>
      <c r="D552" t="s">
        <v>502</v>
      </c>
      <c r="E552">
        <v>56</v>
      </c>
      <c r="F552">
        <v>24.94</v>
      </c>
      <c r="G552">
        <v>27.847096774193549</v>
      </c>
      <c r="H552">
        <v>101.5</v>
      </c>
      <c r="I552">
        <v>0</v>
      </c>
      <c r="J552">
        <v>264.29741935483872</v>
      </c>
      <c r="K552">
        <v>0.18923804226918789</v>
      </c>
    </row>
    <row r="553" spans="1:11" x14ac:dyDescent="0.3">
      <c r="A553" s="37">
        <v>1</v>
      </c>
      <c r="B553" t="s">
        <v>324</v>
      </c>
      <c r="C553" t="s">
        <v>500</v>
      </c>
      <c r="D553" t="s">
        <v>502</v>
      </c>
      <c r="E553">
        <v>56</v>
      </c>
      <c r="F553">
        <v>24.94</v>
      </c>
      <c r="G553">
        <v>27.81677419354839</v>
      </c>
      <c r="H553">
        <v>101.5</v>
      </c>
      <c r="I553">
        <v>0</v>
      </c>
      <c r="J553">
        <v>262.59935483870959</v>
      </c>
      <c r="K553">
        <v>0.1880222210725094</v>
      </c>
    </row>
    <row r="554" spans="1:11" x14ac:dyDescent="0.3">
      <c r="A554" s="37">
        <v>1</v>
      </c>
      <c r="B554" t="s">
        <v>325</v>
      </c>
      <c r="C554" t="s">
        <v>500</v>
      </c>
      <c r="D554" t="s">
        <v>502</v>
      </c>
      <c r="E554">
        <v>56</v>
      </c>
      <c r="F554">
        <v>24.94</v>
      </c>
      <c r="G554">
        <v>27.786451612903221</v>
      </c>
      <c r="H554">
        <v>101.5</v>
      </c>
      <c r="I554">
        <v>0</v>
      </c>
      <c r="J554">
        <v>260.90129032258051</v>
      </c>
      <c r="K554">
        <v>0.18680639987583089</v>
      </c>
    </row>
    <row r="555" spans="1:11" x14ac:dyDescent="0.3">
      <c r="A555" s="37">
        <v>1</v>
      </c>
      <c r="B555" t="s">
        <v>326</v>
      </c>
      <c r="C555" t="s">
        <v>500</v>
      </c>
      <c r="D555" t="s">
        <v>502</v>
      </c>
      <c r="E555">
        <v>56</v>
      </c>
      <c r="F555">
        <v>24.94</v>
      </c>
      <c r="G555">
        <v>27.75612903225807</v>
      </c>
      <c r="H555">
        <v>101.5</v>
      </c>
      <c r="I555">
        <v>0</v>
      </c>
      <c r="J555">
        <v>259.20322580645171</v>
      </c>
      <c r="K555">
        <v>0.1855905786791526</v>
      </c>
    </row>
    <row r="556" spans="1:11" x14ac:dyDescent="0.3">
      <c r="A556" s="37">
        <v>1</v>
      </c>
      <c r="B556" t="s">
        <v>327</v>
      </c>
      <c r="C556" t="s">
        <v>500</v>
      </c>
      <c r="D556" t="s">
        <v>502</v>
      </c>
      <c r="E556">
        <v>56</v>
      </c>
      <c r="F556">
        <v>24.94</v>
      </c>
      <c r="G556">
        <v>27.7258064516129</v>
      </c>
      <c r="H556">
        <v>101.5</v>
      </c>
      <c r="I556">
        <v>0</v>
      </c>
      <c r="J556">
        <v>257.50516129032258</v>
      </c>
      <c r="K556">
        <v>0.18437475748247409</v>
      </c>
    </row>
    <row r="557" spans="1:11" x14ac:dyDescent="0.3">
      <c r="A557" s="37">
        <v>1</v>
      </c>
      <c r="B557" t="s">
        <v>328</v>
      </c>
      <c r="C557" t="s">
        <v>500</v>
      </c>
      <c r="D557" t="s">
        <v>502</v>
      </c>
      <c r="E557">
        <v>56</v>
      </c>
      <c r="F557">
        <v>24.94</v>
      </c>
      <c r="G557">
        <v>27.695483870967738</v>
      </c>
      <c r="H557">
        <v>101.5</v>
      </c>
      <c r="I557">
        <v>0</v>
      </c>
      <c r="J557">
        <v>255.8070967741935</v>
      </c>
      <c r="K557">
        <v>0.18315893628579549</v>
      </c>
    </row>
    <row r="558" spans="1:11" x14ac:dyDescent="0.3">
      <c r="A558" s="37">
        <v>1</v>
      </c>
      <c r="B558" t="s">
        <v>329</v>
      </c>
      <c r="C558" t="s">
        <v>500</v>
      </c>
      <c r="D558" t="s">
        <v>502</v>
      </c>
      <c r="E558">
        <v>56</v>
      </c>
      <c r="F558">
        <v>24.94</v>
      </c>
      <c r="G558">
        <v>27.66516129032258</v>
      </c>
      <c r="H558">
        <v>101.5</v>
      </c>
      <c r="I558">
        <v>0</v>
      </c>
      <c r="J558">
        <v>254.10903225806439</v>
      </c>
      <c r="K558">
        <v>0.18194311508911701</v>
      </c>
    </row>
    <row r="559" spans="1:11" x14ac:dyDescent="0.3">
      <c r="A559" s="37">
        <v>1</v>
      </c>
      <c r="B559" t="s">
        <v>330</v>
      </c>
      <c r="C559" t="s">
        <v>500</v>
      </c>
      <c r="D559" t="s">
        <v>502</v>
      </c>
      <c r="E559">
        <v>56</v>
      </c>
      <c r="F559">
        <v>24.94</v>
      </c>
      <c r="G559">
        <v>27.634838709677421</v>
      </c>
      <c r="H559">
        <v>101.5</v>
      </c>
      <c r="I559">
        <v>0</v>
      </c>
      <c r="J559">
        <v>252.41096774193551</v>
      </c>
      <c r="K559">
        <v>0.18072729389243861</v>
      </c>
    </row>
    <row r="560" spans="1:11" x14ac:dyDescent="0.3">
      <c r="A560" s="37">
        <v>1</v>
      </c>
      <c r="B560" t="s">
        <v>331</v>
      </c>
      <c r="C560" t="s">
        <v>500</v>
      </c>
      <c r="D560" t="s">
        <v>502</v>
      </c>
      <c r="E560">
        <v>62</v>
      </c>
      <c r="F560">
        <v>25.28</v>
      </c>
      <c r="G560">
        <v>27.604516129032259</v>
      </c>
      <c r="H560">
        <v>101.5</v>
      </c>
      <c r="I560">
        <v>0</v>
      </c>
      <c r="J560">
        <v>245.62</v>
      </c>
      <c r="K560">
        <v>0.15670937117190689</v>
      </c>
    </row>
    <row r="561" spans="1:11" x14ac:dyDescent="0.3">
      <c r="A561" s="37">
        <v>1</v>
      </c>
      <c r="B561" t="s">
        <v>332</v>
      </c>
      <c r="C561" t="s">
        <v>500</v>
      </c>
      <c r="D561" t="s">
        <v>502</v>
      </c>
      <c r="E561">
        <v>62</v>
      </c>
      <c r="F561">
        <v>25.28</v>
      </c>
      <c r="G561">
        <v>27.5741935483871</v>
      </c>
      <c r="H561">
        <v>101.5</v>
      </c>
      <c r="I561">
        <v>0</v>
      </c>
      <c r="J561">
        <v>243.7399999999999</v>
      </c>
      <c r="K561">
        <v>0.1555099020008166</v>
      </c>
    </row>
    <row r="562" spans="1:11" x14ac:dyDescent="0.3">
      <c r="A562" s="37">
        <v>1</v>
      </c>
      <c r="B562" t="s">
        <v>333</v>
      </c>
      <c r="C562" t="s">
        <v>500</v>
      </c>
      <c r="D562" t="s">
        <v>502</v>
      </c>
      <c r="E562">
        <v>62</v>
      </c>
      <c r="F562">
        <v>25.28</v>
      </c>
      <c r="G562">
        <v>27.543870967741931</v>
      </c>
      <c r="H562">
        <v>101.5</v>
      </c>
      <c r="I562">
        <v>0</v>
      </c>
      <c r="J562">
        <v>241.8599999999999</v>
      </c>
      <c r="K562">
        <v>0.15431043282972631</v>
      </c>
    </row>
    <row r="563" spans="1:11" x14ac:dyDescent="0.3">
      <c r="A563" s="37">
        <v>1</v>
      </c>
      <c r="B563" t="s">
        <v>334</v>
      </c>
      <c r="C563" t="s">
        <v>500</v>
      </c>
      <c r="D563" t="s">
        <v>502</v>
      </c>
      <c r="E563">
        <v>62</v>
      </c>
      <c r="F563">
        <v>25.28</v>
      </c>
      <c r="G563">
        <v>27.51354838709678</v>
      </c>
      <c r="H563">
        <v>101.5</v>
      </c>
      <c r="I563">
        <v>0</v>
      </c>
      <c r="J563">
        <v>239.98</v>
      </c>
      <c r="K563">
        <v>0.15311096365863619</v>
      </c>
    </row>
    <row r="564" spans="1:11" x14ac:dyDescent="0.3">
      <c r="A564" s="37">
        <v>1</v>
      </c>
      <c r="B564" t="s">
        <v>335</v>
      </c>
      <c r="C564" t="s">
        <v>500</v>
      </c>
      <c r="D564" t="s">
        <v>502</v>
      </c>
      <c r="E564">
        <v>62</v>
      </c>
      <c r="F564">
        <v>25.28</v>
      </c>
      <c r="G564">
        <v>27.48322580645161</v>
      </c>
      <c r="H564">
        <v>101.5</v>
      </c>
      <c r="I564">
        <v>0</v>
      </c>
      <c r="J564">
        <v>238.1</v>
      </c>
      <c r="K564">
        <v>0.1519114944875459</v>
      </c>
    </row>
    <row r="565" spans="1:11" x14ac:dyDescent="0.3">
      <c r="A565" s="37">
        <v>1</v>
      </c>
      <c r="B565" t="s">
        <v>336</v>
      </c>
      <c r="C565" t="s">
        <v>500</v>
      </c>
      <c r="D565" t="s">
        <v>502</v>
      </c>
      <c r="E565">
        <v>62</v>
      </c>
      <c r="F565">
        <v>25.28</v>
      </c>
      <c r="G565">
        <v>27.452903225806448</v>
      </c>
      <c r="H565">
        <v>101.5</v>
      </c>
      <c r="I565">
        <v>0</v>
      </c>
      <c r="J565">
        <v>236.21999999999991</v>
      </c>
      <c r="K565">
        <v>0.15071202531645561</v>
      </c>
    </row>
    <row r="566" spans="1:11" x14ac:dyDescent="0.3">
      <c r="A566" s="37">
        <v>1</v>
      </c>
      <c r="B566" t="s">
        <v>337</v>
      </c>
      <c r="C566" t="s">
        <v>500</v>
      </c>
      <c r="D566" t="s">
        <v>502</v>
      </c>
      <c r="E566">
        <v>62</v>
      </c>
      <c r="F566">
        <v>25.28</v>
      </c>
      <c r="G566">
        <v>27.42258064516129</v>
      </c>
      <c r="H566">
        <v>101.5</v>
      </c>
      <c r="I566">
        <v>0</v>
      </c>
      <c r="J566">
        <v>234.33999999999989</v>
      </c>
      <c r="K566">
        <v>0.14951255614536541</v>
      </c>
    </row>
    <row r="567" spans="1:11" x14ac:dyDescent="0.3">
      <c r="A567" s="37">
        <v>1</v>
      </c>
      <c r="B567" t="s">
        <v>338</v>
      </c>
      <c r="C567" t="s">
        <v>500</v>
      </c>
      <c r="D567" t="s">
        <v>502</v>
      </c>
      <c r="E567">
        <v>62</v>
      </c>
      <c r="F567">
        <v>25.28</v>
      </c>
      <c r="G567">
        <v>27.392258064516131</v>
      </c>
      <c r="H567">
        <v>101.5</v>
      </c>
      <c r="I567">
        <v>0</v>
      </c>
      <c r="J567">
        <v>232.45999999999981</v>
      </c>
      <c r="K567">
        <v>0.14831308697427509</v>
      </c>
    </row>
    <row r="568" spans="1:11" x14ac:dyDescent="0.3">
      <c r="A568" s="37">
        <v>1</v>
      </c>
      <c r="B568" t="s">
        <v>339</v>
      </c>
      <c r="C568" t="s">
        <v>500</v>
      </c>
      <c r="D568" t="s">
        <v>502</v>
      </c>
      <c r="E568">
        <v>62</v>
      </c>
      <c r="F568">
        <v>25.28</v>
      </c>
      <c r="G568">
        <v>27.361935483870969</v>
      </c>
      <c r="H568">
        <v>101.5</v>
      </c>
      <c r="I568">
        <v>0</v>
      </c>
      <c r="J568">
        <v>230.58</v>
      </c>
      <c r="K568">
        <v>0.14711361780318499</v>
      </c>
    </row>
    <row r="569" spans="1:11" x14ac:dyDescent="0.3">
      <c r="A569" s="37">
        <v>1</v>
      </c>
      <c r="B569" t="s">
        <v>340</v>
      </c>
      <c r="C569" t="s">
        <v>500</v>
      </c>
      <c r="D569" t="s">
        <v>502</v>
      </c>
      <c r="E569">
        <v>62</v>
      </c>
      <c r="F569">
        <v>25.28</v>
      </c>
      <c r="G569">
        <v>27.33161290322581</v>
      </c>
      <c r="H569">
        <v>101.5</v>
      </c>
      <c r="I569">
        <v>0</v>
      </c>
      <c r="J569">
        <v>228.7</v>
      </c>
      <c r="K569">
        <v>0.1459141486320947</v>
      </c>
    </row>
    <row r="570" spans="1:11" x14ac:dyDescent="0.3">
      <c r="A570" s="37">
        <v>1</v>
      </c>
      <c r="B570" t="s">
        <v>341</v>
      </c>
      <c r="C570" t="s">
        <v>500</v>
      </c>
      <c r="D570" t="s">
        <v>502</v>
      </c>
      <c r="E570">
        <v>62</v>
      </c>
      <c r="F570">
        <v>25.28</v>
      </c>
      <c r="G570">
        <v>27.301290322580641</v>
      </c>
      <c r="H570">
        <v>101.5</v>
      </c>
      <c r="I570">
        <v>0</v>
      </c>
      <c r="J570">
        <v>226.81999999999991</v>
      </c>
      <c r="K570">
        <v>0.14471467946100439</v>
      </c>
    </row>
    <row r="571" spans="1:11" x14ac:dyDescent="0.3">
      <c r="A571" s="37">
        <v>1</v>
      </c>
      <c r="B571" t="s">
        <v>342</v>
      </c>
      <c r="C571" t="s">
        <v>500</v>
      </c>
      <c r="D571" t="s">
        <v>502</v>
      </c>
      <c r="E571">
        <v>62</v>
      </c>
      <c r="F571">
        <v>25.28</v>
      </c>
      <c r="G571">
        <v>27.270967741935479</v>
      </c>
      <c r="H571">
        <v>101.5</v>
      </c>
      <c r="I571">
        <v>0</v>
      </c>
      <c r="J571">
        <v>224.93999999999991</v>
      </c>
      <c r="K571">
        <v>0.14351521028991421</v>
      </c>
    </row>
    <row r="572" spans="1:11" x14ac:dyDescent="0.3">
      <c r="A572" s="37">
        <v>1</v>
      </c>
      <c r="B572" t="s">
        <v>343</v>
      </c>
      <c r="C572" t="s">
        <v>500</v>
      </c>
      <c r="D572" t="s">
        <v>502</v>
      </c>
      <c r="E572">
        <v>62</v>
      </c>
      <c r="F572">
        <v>25.28</v>
      </c>
      <c r="G572">
        <v>27.24064516129032</v>
      </c>
      <c r="H572">
        <v>101.5</v>
      </c>
      <c r="I572">
        <v>0</v>
      </c>
      <c r="J572">
        <v>223.06</v>
      </c>
      <c r="K572">
        <v>0.142315741118824</v>
      </c>
    </row>
    <row r="573" spans="1:11" x14ac:dyDescent="0.3">
      <c r="A573" s="37">
        <v>1</v>
      </c>
      <c r="B573" t="s">
        <v>344</v>
      </c>
      <c r="C573" t="s">
        <v>500</v>
      </c>
      <c r="D573" t="s">
        <v>502</v>
      </c>
      <c r="E573">
        <v>62</v>
      </c>
      <c r="F573">
        <v>25.28</v>
      </c>
      <c r="G573">
        <v>27.210322580645158</v>
      </c>
      <c r="H573">
        <v>101.5</v>
      </c>
      <c r="I573">
        <v>0</v>
      </c>
      <c r="J573">
        <v>221.17999999999989</v>
      </c>
      <c r="K573">
        <v>0.14111627194773371</v>
      </c>
    </row>
    <row r="574" spans="1:11" x14ac:dyDescent="0.3">
      <c r="A574" s="37">
        <v>1</v>
      </c>
      <c r="B574" t="s">
        <v>345</v>
      </c>
      <c r="C574" t="s">
        <v>500</v>
      </c>
      <c r="D574" t="s">
        <v>502</v>
      </c>
      <c r="E574">
        <v>62</v>
      </c>
      <c r="F574">
        <v>25.28</v>
      </c>
      <c r="G574">
        <v>27.18</v>
      </c>
      <c r="H574">
        <v>101.5</v>
      </c>
      <c r="I574">
        <v>0</v>
      </c>
      <c r="J574">
        <v>219.2999999999999</v>
      </c>
      <c r="K574">
        <v>0.13991680277664351</v>
      </c>
    </row>
    <row r="575" spans="1:11" x14ac:dyDescent="0.3">
      <c r="A575" s="37">
        <v>1</v>
      </c>
      <c r="B575" t="s">
        <v>346</v>
      </c>
      <c r="C575" t="s">
        <v>500</v>
      </c>
      <c r="D575" t="s">
        <v>502</v>
      </c>
      <c r="E575">
        <v>62</v>
      </c>
      <c r="F575">
        <v>25.28</v>
      </c>
      <c r="G575">
        <v>27.15258064516129</v>
      </c>
      <c r="H575">
        <v>101.5</v>
      </c>
      <c r="I575">
        <v>0</v>
      </c>
      <c r="J575">
        <v>217.59999999999991</v>
      </c>
      <c r="K575">
        <v>0.13883217639852991</v>
      </c>
    </row>
    <row r="576" spans="1:11" x14ac:dyDescent="0.3">
      <c r="A576" s="37">
        <v>1</v>
      </c>
      <c r="B576" t="s">
        <v>347</v>
      </c>
      <c r="C576" t="s">
        <v>500</v>
      </c>
      <c r="D576" t="s">
        <v>502</v>
      </c>
      <c r="E576">
        <v>62</v>
      </c>
      <c r="F576">
        <v>25.28</v>
      </c>
      <c r="G576">
        <v>27.12516129032258</v>
      </c>
      <c r="H576">
        <v>101.5</v>
      </c>
      <c r="I576">
        <v>0</v>
      </c>
      <c r="J576">
        <v>215.89999999999989</v>
      </c>
      <c r="K576">
        <v>0.13774755002041639</v>
      </c>
    </row>
    <row r="577" spans="1:11" x14ac:dyDescent="0.3">
      <c r="A577" s="37">
        <v>1</v>
      </c>
      <c r="B577" t="s">
        <v>348</v>
      </c>
      <c r="C577" t="s">
        <v>500</v>
      </c>
      <c r="D577" t="s">
        <v>502</v>
      </c>
      <c r="E577">
        <v>62</v>
      </c>
      <c r="F577">
        <v>25.28</v>
      </c>
      <c r="G577">
        <v>27.097741935483871</v>
      </c>
      <c r="H577">
        <v>101.5</v>
      </c>
      <c r="I577">
        <v>0</v>
      </c>
      <c r="J577">
        <v>214.1999999999999</v>
      </c>
      <c r="K577">
        <v>0.1366629236423029</v>
      </c>
    </row>
    <row r="578" spans="1:11" x14ac:dyDescent="0.3">
      <c r="A578" s="37">
        <v>1</v>
      </c>
      <c r="B578" t="s">
        <v>349</v>
      </c>
      <c r="C578" t="s">
        <v>500</v>
      </c>
      <c r="D578" t="s">
        <v>502</v>
      </c>
      <c r="E578">
        <v>62</v>
      </c>
      <c r="F578">
        <v>25.28</v>
      </c>
      <c r="G578">
        <v>27.070322580645161</v>
      </c>
      <c r="H578">
        <v>101.5</v>
      </c>
      <c r="I578">
        <v>0</v>
      </c>
      <c r="J578">
        <v>212.49999999999989</v>
      </c>
      <c r="K578">
        <v>0.13557829726418941</v>
      </c>
    </row>
    <row r="579" spans="1:11" x14ac:dyDescent="0.3">
      <c r="A579" s="37">
        <v>1</v>
      </c>
      <c r="B579" t="s">
        <v>350</v>
      </c>
      <c r="C579" t="s">
        <v>500</v>
      </c>
      <c r="D579" t="s">
        <v>502</v>
      </c>
      <c r="E579">
        <v>62</v>
      </c>
      <c r="F579">
        <v>25.28</v>
      </c>
      <c r="G579">
        <v>27.042903225806452</v>
      </c>
      <c r="H579">
        <v>101.5</v>
      </c>
      <c r="I579">
        <v>0</v>
      </c>
      <c r="J579">
        <v>210.7999999999999</v>
      </c>
      <c r="K579">
        <v>0.13449367088607589</v>
      </c>
    </row>
    <row r="580" spans="1:11" x14ac:dyDescent="0.3">
      <c r="A580" s="37">
        <v>1</v>
      </c>
      <c r="B580" t="s">
        <v>351</v>
      </c>
      <c r="C580" t="s">
        <v>500</v>
      </c>
      <c r="D580" t="s">
        <v>502</v>
      </c>
      <c r="E580">
        <v>62</v>
      </c>
      <c r="F580">
        <v>25.28</v>
      </c>
      <c r="G580">
        <v>27.015483870967739</v>
      </c>
      <c r="H580">
        <v>101.5</v>
      </c>
      <c r="I580">
        <v>0</v>
      </c>
      <c r="J580">
        <v>209.09999999999991</v>
      </c>
      <c r="K580">
        <v>0.1334090445079624</v>
      </c>
    </row>
    <row r="581" spans="1:11" x14ac:dyDescent="0.3">
      <c r="A581" s="37">
        <v>1</v>
      </c>
      <c r="B581" t="s">
        <v>352</v>
      </c>
      <c r="C581" t="s">
        <v>500</v>
      </c>
      <c r="D581" t="s">
        <v>502</v>
      </c>
      <c r="E581">
        <v>62</v>
      </c>
      <c r="F581">
        <v>25.28</v>
      </c>
      <c r="G581">
        <v>26.988064516129029</v>
      </c>
      <c r="H581">
        <v>101.5</v>
      </c>
      <c r="I581">
        <v>0</v>
      </c>
      <c r="J581">
        <v>207.39999999999989</v>
      </c>
      <c r="K581">
        <v>0.13232441812984891</v>
      </c>
    </row>
    <row r="582" spans="1:11" x14ac:dyDescent="0.3">
      <c r="A582" s="37">
        <v>1</v>
      </c>
      <c r="B582" t="s">
        <v>353</v>
      </c>
      <c r="C582" t="s">
        <v>500</v>
      </c>
      <c r="D582" t="s">
        <v>502</v>
      </c>
      <c r="E582">
        <v>62</v>
      </c>
      <c r="F582">
        <v>25.28</v>
      </c>
      <c r="G582">
        <v>26.960645161290319</v>
      </c>
      <c r="H582">
        <v>101.5</v>
      </c>
      <c r="I582">
        <v>0</v>
      </c>
      <c r="J582">
        <v>205.6999999999999</v>
      </c>
      <c r="K582">
        <v>0.13123979175173531</v>
      </c>
    </row>
    <row r="583" spans="1:11" x14ac:dyDescent="0.3">
      <c r="A583" s="37">
        <v>1</v>
      </c>
      <c r="B583" t="s">
        <v>354</v>
      </c>
      <c r="C583" t="s">
        <v>500</v>
      </c>
      <c r="D583" t="s">
        <v>502</v>
      </c>
      <c r="E583">
        <v>62</v>
      </c>
      <c r="F583">
        <v>25.28</v>
      </c>
      <c r="G583">
        <v>26.93322580645161</v>
      </c>
      <c r="H583">
        <v>101.5</v>
      </c>
      <c r="I583">
        <v>0</v>
      </c>
      <c r="J583">
        <v>203.99999999999989</v>
      </c>
      <c r="K583">
        <v>0.13015516537362179</v>
      </c>
    </row>
    <row r="584" spans="1:11" x14ac:dyDescent="0.3">
      <c r="A584" s="37">
        <v>1</v>
      </c>
      <c r="B584" t="s">
        <v>355</v>
      </c>
      <c r="C584" t="s">
        <v>500</v>
      </c>
      <c r="D584" t="s">
        <v>502</v>
      </c>
      <c r="E584">
        <v>62</v>
      </c>
      <c r="F584">
        <v>25.28</v>
      </c>
      <c r="G584">
        <v>26.9058064516129</v>
      </c>
      <c r="H584">
        <v>101.5</v>
      </c>
      <c r="I584">
        <v>0</v>
      </c>
      <c r="J584">
        <v>202.3</v>
      </c>
      <c r="K584">
        <v>0.1290705389955083</v>
      </c>
    </row>
    <row r="585" spans="1:11" x14ac:dyDescent="0.3">
      <c r="A585" s="37">
        <v>1</v>
      </c>
      <c r="B585" t="s">
        <v>356</v>
      </c>
      <c r="C585" t="s">
        <v>500</v>
      </c>
      <c r="D585" t="s">
        <v>502</v>
      </c>
      <c r="E585">
        <v>62</v>
      </c>
      <c r="F585">
        <v>25.28</v>
      </c>
      <c r="G585">
        <v>26.87838709677419</v>
      </c>
      <c r="H585">
        <v>101.5</v>
      </c>
      <c r="I585">
        <v>0</v>
      </c>
      <c r="J585">
        <v>200.6</v>
      </c>
      <c r="K585">
        <v>0.12798591261739481</v>
      </c>
    </row>
    <row r="586" spans="1:11" x14ac:dyDescent="0.3">
      <c r="A586" s="37">
        <v>1</v>
      </c>
      <c r="B586" t="s">
        <v>357</v>
      </c>
      <c r="C586" t="s">
        <v>500</v>
      </c>
      <c r="D586" t="s">
        <v>502</v>
      </c>
      <c r="E586">
        <v>62</v>
      </c>
      <c r="F586">
        <v>25.28</v>
      </c>
      <c r="G586">
        <v>26.850967741935481</v>
      </c>
      <c r="H586">
        <v>101.5</v>
      </c>
      <c r="I586">
        <v>0</v>
      </c>
      <c r="J586">
        <v>198.9</v>
      </c>
      <c r="K586">
        <v>0.12690128623928129</v>
      </c>
    </row>
    <row r="587" spans="1:11" x14ac:dyDescent="0.3">
      <c r="A587" s="37">
        <v>1</v>
      </c>
      <c r="B587" t="s">
        <v>358</v>
      </c>
      <c r="C587" t="s">
        <v>500</v>
      </c>
      <c r="D587" t="s">
        <v>502</v>
      </c>
      <c r="E587">
        <v>62</v>
      </c>
      <c r="F587">
        <v>25.28</v>
      </c>
      <c r="G587">
        <v>26.823548387096771</v>
      </c>
      <c r="H587">
        <v>101.5</v>
      </c>
      <c r="I587">
        <v>0</v>
      </c>
      <c r="J587">
        <v>197.2</v>
      </c>
      <c r="K587">
        <v>0.1258166598611678</v>
      </c>
    </row>
    <row r="588" spans="1:11" x14ac:dyDescent="0.3">
      <c r="A588" s="37">
        <v>1</v>
      </c>
      <c r="B588" t="s">
        <v>359</v>
      </c>
      <c r="C588" t="s">
        <v>500</v>
      </c>
      <c r="D588" t="s">
        <v>502</v>
      </c>
      <c r="E588">
        <v>62</v>
      </c>
      <c r="F588">
        <v>25.28</v>
      </c>
      <c r="G588">
        <v>26.796129032258069</v>
      </c>
      <c r="H588">
        <v>101.5</v>
      </c>
      <c r="I588">
        <v>0</v>
      </c>
      <c r="J588">
        <v>195.5</v>
      </c>
      <c r="K588">
        <v>0.1247320334830543</v>
      </c>
    </row>
    <row r="589" spans="1:11" x14ac:dyDescent="0.3">
      <c r="A589" s="37">
        <v>1</v>
      </c>
      <c r="B589" t="s">
        <v>360</v>
      </c>
      <c r="C589" t="s">
        <v>500</v>
      </c>
      <c r="D589" t="s">
        <v>502</v>
      </c>
      <c r="E589">
        <v>62</v>
      </c>
      <c r="F589">
        <v>25.28</v>
      </c>
      <c r="G589">
        <v>26.768709677419359</v>
      </c>
      <c r="H589">
        <v>101.5</v>
      </c>
      <c r="I589">
        <v>0</v>
      </c>
      <c r="J589">
        <v>193.8</v>
      </c>
      <c r="K589">
        <v>0.12364740710494081</v>
      </c>
    </row>
    <row r="590" spans="1:11" x14ac:dyDescent="0.3">
      <c r="A590" s="37">
        <v>1</v>
      </c>
      <c r="B590" t="s">
        <v>361</v>
      </c>
      <c r="C590" t="s">
        <v>500</v>
      </c>
      <c r="D590" t="s">
        <v>502</v>
      </c>
      <c r="E590">
        <v>62</v>
      </c>
      <c r="F590">
        <v>25.28</v>
      </c>
      <c r="G590">
        <v>26.741290322580639</v>
      </c>
      <c r="H590">
        <v>101.5</v>
      </c>
      <c r="I590">
        <v>0</v>
      </c>
      <c r="J590">
        <v>192.0999999999998</v>
      </c>
      <c r="K590">
        <v>0.12256278072682709</v>
      </c>
    </row>
    <row r="591" spans="1:11" x14ac:dyDescent="0.3">
      <c r="A591" s="37">
        <v>1</v>
      </c>
      <c r="B591" t="s">
        <v>362</v>
      </c>
      <c r="C591" t="s">
        <v>500</v>
      </c>
      <c r="D591" t="s">
        <v>502</v>
      </c>
      <c r="E591">
        <v>62</v>
      </c>
      <c r="F591">
        <v>25.28</v>
      </c>
      <c r="G591">
        <v>26.713870967741929</v>
      </c>
      <c r="H591">
        <v>101.5</v>
      </c>
      <c r="I591">
        <v>0</v>
      </c>
      <c r="J591">
        <v>190.39999999999969</v>
      </c>
      <c r="K591">
        <v>0.1214781543487136</v>
      </c>
    </row>
    <row r="592" spans="1:11" x14ac:dyDescent="0.3">
      <c r="A592" s="37">
        <v>1</v>
      </c>
      <c r="B592" t="s">
        <v>363</v>
      </c>
      <c r="C592" t="s">
        <v>500</v>
      </c>
      <c r="D592" t="s">
        <v>502</v>
      </c>
      <c r="E592">
        <v>62</v>
      </c>
      <c r="F592">
        <v>25.28</v>
      </c>
      <c r="G592">
        <v>26.68645161290322</v>
      </c>
      <c r="H592">
        <v>101.5</v>
      </c>
      <c r="I592">
        <v>0</v>
      </c>
      <c r="J592">
        <v>188.69999999999979</v>
      </c>
      <c r="K592">
        <v>0.1203935279706001</v>
      </c>
    </row>
    <row r="593" spans="1:11" x14ac:dyDescent="0.3">
      <c r="A593" s="37">
        <v>1</v>
      </c>
      <c r="B593" t="s">
        <v>364</v>
      </c>
      <c r="C593" t="s">
        <v>500</v>
      </c>
      <c r="D593" t="s">
        <v>502</v>
      </c>
      <c r="E593">
        <v>62</v>
      </c>
      <c r="F593">
        <v>25.28</v>
      </c>
      <c r="G593">
        <v>26.65903225806451</v>
      </c>
      <c r="H593">
        <v>101.5</v>
      </c>
      <c r="I593">
        <v>0</v>
      </c>
      <c r="J593">
        <v>186.9999999999998</v>
      </c>
      <c r="K593">
        <v>0.1193089015924866</v>
      </c>
    </row>
    <row r="594" spans="1:11" x14ac:dyDescent="0.3">
      <c r="A594" s="37">
        <v>1</v>
      </c>
      <c r="B594" t="s">
        <v>365</v>
      </c>
      <c r="C594" t="s">
        <v>500</v>
      </c>
      <c r="D594" t="s">
        <v>502</v>
      </c>
      <c r="E594">
        <v>62</v>
      </c>
      <c r="F594">
        <v>25.28</v>
      </c>
      <c r="G594">
        <v>26.6316129032258</v>
      </c>
      <c r="H594">
        <v>101.5</v>
      </c>
      <c r="I594">
        <v>0</v>
      </c>
      <c r="J594">
        <v>185.29999999999981</v>
      </c>
      <c r="K594">
        <v>0.11822427521437311</v>
      </c>
    </row>
    <row r="595" spans="1:11" x14ac:dyDescent="0.3">
      <c r="A595" s="37">
        <v>1</v>
      </c>
      <c r="B595" t="s">
        <v>366</v>
      </c>
      <c r="C595" t="s">
        <v>500</v>
      </c>
      <c r="D595" t="s">
        <v>502</v>
      </c>
      <c r="E595">
        <v>62</v>
      </c>
      <c r="F595">
        <v>25.28</v>
      </c>
      <c r="G595">
        <v>26.604193548387091</v>
      </c>
      <c r="H595">
        <v>101.5</v>
      </c>
      <c r="I595">
        <v>0</v>
      </c>
      <c r="J595">
        <v>183.5999999999998</v>
      </c>
      <c r="K595">
        <v>0.1171396488362596</v>
      </c>
    </row>
    <row r="596" spans="1:11" x14ac:dyDescent="0.3">
      <c r="A596" s="37">
        <v>1</v>
      </c>
      <c r="B596" t="s">
        <v>367</v>
      </c>
      <c r="C596" t="s">
        <v>500</v>
      </c>
      <c r="D596" t="s">
        <v>502</v>
      </c>
      <c r="E596">
        <v>62</v>
      </c>
      <c r="F596">
        <v>25.28</v>
      </c>
      <c r="G596">
        <v>26.576774193548381</v>
      </c>
      <c r="H596">
        <v>101.5</v>
      </c>
      <c r="I596">
        <v>0</v>
      </c>
      <c r="J596">
        <v>181.89999999999981</v>
      </c>
      <c r="K596">
        <v>0.116055022458146</v>
      </c>
    </row>
    <row r="597" spans="1:11" x14ac:dyDescent="0.3">
      <c r="A597" s="37">
        <v>1</v>
      </c>
      <c r="B597" t="s">
        <v>368</v>
      </c>
      <c r="C597" t="s">
        <v>500</v>
      </c>
      <c r="D597" t="s">
        <v>502</v>
      </c>
      <c r="E597">
        <v>62</v>
      </c>
      <c r="F597">
        <v>25.28</v>
      </c>
      <c r="G597">
        <v>26.549354838709679</v>
      </c>
      <c r="H597">
        <v>101.5</v>
      </c>
      <c r="I597">
        <v>0</v>
      </c>
      <c r="J597">
        <v>180.19999999999979</v>
      </c>
      <c r="K597">
        <v>0.1149703960800325</v>
      </c>
    </row>
    <row r="598" spans="1:11" x14ac:dyDescent="0.3">
      <c r="A598" s="37">
        <v>1</v>
      </c>
      <c r="B598" t="s">
        <v>369</v>
      </c>
      <c r="C598" t="s">
        <v>500</v>
      </c>
      <c r="D598" t="s">
        <v>502</v>
      </c>
      <c r="E598">
        <v>62</v>
      </c>
      <c r="F598">
        <v>25.28</v>
      </c>
      <c r="G598">
        <v>26.521935483870969</v>
      </c>
      <c r="H598">
        <v>101.5</v>
      </c>
      <c r="I598">
        <v>0</v>
      </c>
      <c r="J598">
        <v>178.4999999999998</v>
      </c>
      <c r="K598">
        <v>0.11388576970191901</v>
      </c>
    </row>
    <row r="599" spans="1:11" x14ac:dyDescent="0.3">
      <c r="A599" s="37">
        <v>1</v>
      </c>
      <c r="B599" t="s">
        <v>370</v>
      </c>
      <c r="C599" t="s">
        <v>500</v>
      </c>
      <c r="D599" t="s">
        <v>502</v>
      </c>
      <c r="E599">
        <v>62</v>
      </c>
      <c r="F599">
        <v>25.28</v>
      </c>
      <c r="G599">
        <v>26.494516129032259</v>
      </c>
      <c r="H599">
        <v>101.5</v>
      </c>
      <c r="I599">
        <v>0</v>
      </c>
      <c r="J599">
        <v>176.79999999999981</v>
      </c>
      <c r="K599">
        <v>0.1128011433238055</v>
      </c>
    </row>
    <row r="600" spans="1:11" x14ac:dyDescent="0.3">
      <c r="A600" s="37">
        <v>1</v>
      </c>
      <c r="B600" t="s">
        <v>371</v>
      </c>
      <c r="C600" t="s">
        <v>500</v>
      </c>
      <c r="D600" t="s">
        <v>502</v>
      </c>
      <c r="E600">
        <v>62</v>
      </c>
      <c r="F600">
        <v>25.28</v>
      </c>
      <c r="G600">
        <v>26.46709677419355</v>
      </c>
      <c r="H600">
        <v>101.5</v>
      </c>
      <c r="I600">
        <v>0</v>
      </c>
      <c r="J600">
        <v>175.0999999999998</v>
      </c>
      <c r="K600">
        <v>0.111716516945692</v>
      </c>
    </row>
    <row r="601" spans="1:11" x14ac:dyDescent="0.3">
      <c r="A601" s="37">
        <v>1</v>
      </c>
      <c r="B601" t="s">
        <v>372</v>
      </c>
      <c r="C601" t="s">
        <v>500</v>
      </c>
      <c r="D601" t="s">
        <v>502</v>
      </c>
      <c r="E601">
        <v>62</v>
      </c>
      <c r="F601">
        <v>25.28</v>
      </c>
      <c r="G601">
        <v>26.43967741935484</v>
      </c>
      <c r="H601">
        <v>101.5</v>
      </c>
      <c r="I601">
        <v>0</v>
      </c>
      <c r="J601">
        <v>173.39999999999981</v>
      </c>
      <c r="K601">
        <v>0.11063189056757849</v>
      </c>
    </row>
    <row r="602" spans="1:11" x14ac:dyDescent="0.3">
      <c r="A602" s="37">
        <v>1</v>
      </c>
      <c r="B602" t="s">
        <v>373</v>
      </c>
      <c r="C602" t="s">
        <v>500</v>
      </c>
      <c r="D602" t="s">
        <v>502</v>
      </c>
      <c r="E602">
        <v>62</v>
      </c>
      <c r="F602">
        <v>25.28</v>
      </c>
      <c r="G602">
        <v>26.412258064516131</v>
      </c>
      <c r="H602">
        <v>101.5</v>
      </c>
      <c r="I602">
        <v>0</v>
      </c>
      <c r="J602">
        <v>171.69999999999979</v>
      </c>
      <c r="K602">
        <v>0.109547264189465</v>
      </c>
    </row>
    <row r="603" spans="1:11" x14ac:dyDescent="0.3">
      <c r="A603" s="37">
        <v>1</v>
      </c>
      <c r="B603" t="s">
        <v>374</v>
      </c>
      <c r="C603" t="s">
        <v>500</v>
      </c>
      <c r="D603" t="s">
        <v>502</v>
      </c>
      <c r="E603">
        <v>62</v>
      </c>
      <c r="F603">
        <v>25.28</v>
      </c>
      <c r="G603">
        <v>26.384838709677421</v>
      </c>
      <c r="H603">
        <v>101.5</v>
      </c>
      <c r="I603">
        <v>0</v>
      </c>
      <c r="J603">
        <v>169.9999999999998</v>
      </c>
      <c r="K603">
        <v>0.1084626378113515</v>
      </c>
    </row>
    <row r="604" spans="1:11" x14ac:dyDescent="0.3">
      <c r="A604" s="37">
        <v>1</v>
      </c>
      <c r="B604" t="s">
        <v>375</v>
      </c>
      <c r="C604" t="s">
        <v>500</v>
      </c>
      <c r="D604" t="s">
        <v>502</v>
      </c>
      <c r="E604">
        <v>62</v>
      </c>
      <c r="F604">
        <v>25.28</v>
      </c>
      <c r="G604">
        <v>26.357419354838711</v>
      </c>
      <c r="H604">
        <v>101.5</v>
      </c>
      <c r="I604">
        <v>0</v>
      </c>
      <c r="J604">
        <v>168.29999999999981</v>
      </c>
      <c r="K604">
        <v>0.1073780114332379</v>
      </c>
    </row>
    <row r="605" spans="1:11" x14ac:dyDescent="0.3">
      <c r="A605" s="37">
        <v>1</v>
      </c>
      <c r="B605" t="s">
        <v>376</v>
      </c>
      <c r="C605" t="s">
        <v>500</v>
      </c>
      <c r="D605" t="s">
        <v>502</v>
      </c>
      <c r="E605">
        <v>62</v>
      </c>
      <c r="F605">
        <v>25.28</v>
      </c>
      <c r="G605">
        <v>26.33</v>
      </c>
      <c r="H605">
        <v>101.5</v>
      </c>
      <c r="I605">
        <v>0</v>
      </c>
      <c r="J605">
        <v>166.5999999999998</v>
      </c>
      <c r="K605">
        <v>0.1062933850551244</v>
      </c>
    </row>
    <row r="606" spans="1:11" x14ac:dyDescent="0.3">
      <c r="A606" s="37">
        <v>1</v>
      </c>
      <c r="B606" t="s">
        <v>377</v>
      </c>
      <c r="C606" t="s">
        <v>500</v>
      </c>
      <c r="D606" t="s">
        <v>502</v>
      </c>
      <c r="E606">
        <v>62</v>
      </c>
      <c r="F606">
        <v>25.28</v>
      </c>
      <c r="G606">
        <v>26.277999999999999</v>
      </c>
      <c r="H606">
        <v>101.5</v>
      </c>
      <c r="I606">
        <v>0</v>
      </c>
      <c r="J606">
        <v>163.37599999999989</v>
      </c>
      <c r="K606">
        <v>0.104236423029808</v>
      </c>
    </row>
    <row r="607" spans="1:11" x14ac:dyDescent="0.3">
      <c r="A607" s="37">
        <v>1</v>
      </c>
      <c r="B607" t="s">
        <v>378</v>
      </c>
      <c r="C607" t="s">
        <v>500</v>
      </c>
      <c r="D607" t="s">
        <v>502</v>
      </c>
      <c r="E607">
        <v>62</v>
      </c>
      <c r="F607">
        <v>25.28</v>
      </c>
      <c r="G607">
        <v>26.225999999999999</v>
      </c>
      <c r="H607">
        <v>101.5</v>
      </c>
      <c r="I607">
        <v>0</v>
      </c>
      <c r="J607">
        <v>160.1519999999999</v>
      </c>
      <c r="K607">
        <v>0.1021794610044915</v>
      </c>
    </row>
    <row r="608" spans="1:11" x14ac:dyDescent="0.3">
      <c r="A608" s="37">
        <v>1</v>
      </c>
      <c r="B608" t="s">
        <v>379</v>
      </c>
      <c r="C608" t="s">
        <v>500</v>
      </c>
      <c r="D608" t="s">
        <v>502</v>
      </c>
      <c r="E608">
        <v>62</v>
      </c>
      <c r="F608">
        <v>25.28</v>
      </c>
      <c r="G608">
        <v>26.173999999999999</v>
      </c>
      <c r="H608">
        <v>101.5</v>
      </c>
      <c r="I608">
        <v>0</v>
      </c>
      <c r="J608">
        <v>156.92799999999991</v>
      </c>
      <c r="K608">
        <v>0.10012249897917511</v>
      </c>
    </row>
    <row r="609" spans="1:11" x14ac:dyDescent="0.3">
      <c r="A609" s="37">
        <v>1</v>
      </c>
      <c r="B609" t="s">
        <v>380</v>
      </c>
      <c r="C609" t="s">
        <v>500</v>
      </c>
      <c r="D609" t="s">
        <v>502</v>
      </c>
      <c r="E609">
        <v>62</v>
      </c>
      <c r="F609">
        <v>25.28</v>
      </c>
      <c r="G609">
        <v>26.122</v>
      </c>
      <c r="H609">
        <v>101.5</v>
      </c>
      <c r="I609">
        <v>0</v>
      </c>
      <c r="J609">
        <v>153.70399999999989</v>
      </c>
      <c r="K609">
        <v>9.8065536953858654E-2</v>
      </c>
    </row>
    <row r="610" spans="1:11" x14ac:dyDescent="0.3">
      <c r="A610" s="37">
        <v>1</v>
      </c>
      <c r="B610" t="s">
        <v>381</v>
      </c>
      <c r="C610" t="s">
        <v>500</v>
      </c>
      <c r="D610" t="s">
        <v>502</v>
      </c>
      <c r="E610">
        <v>62</v>
      </c>
      <c r="F610">
        <v>25.28</v>
      </c>
      <c r="G610">
        <v>26.07</v>
      </c>
      <c r="H610">
        <v>101.5</v>
      </c>
      <c r="I610">
        <v>0</v>
      </c>
      <c r="J610">
        <v>150.47999999999999</v>
      </c>
      <c r="K610">
        <v>9.6008574928542229E-2</v>
      </c>
    </row>
    <row r="611" spans="1:11" x14ac:dyDescent="0.3">
      <c r="A611" s="37">
        <v>1</v>
      </c>
      <c r="B611" t="s">
        <v>382</v>
      </c>
      <c r="C611" t="s">
        <v>500</v>
      </c>
      <c r="D611" t="s">
        <v>502</v>
      </c>
      <c r="E611">
        <v>62</v>
      </c>
      <c r="F611">
        <v>25.28</v>
      </c>
      <c r="G611">
        <v>26.018000000000001</v>
      </c>
      <c r="H611">
        <v>101.5</v>
      </c>
      <c r="I611">
        <v>0</v>
      </c>
      <c r="J611">
        <v>147.25599999999969</v>
      </c>
      <c r="K611">
        <v>9.3951612903225637E-2</v>
      </c>
    </row>
    <row r="612" spans="1:11" x14ac:dyDescent="0.3">
      <c r="A612" s="37">
        <v>1</v>
      </c>
      <c r="B612" t="s">
        <v>383</v>
      </c>
      <c r="C612" t="s">
        <v>500</v>
      </c>
      <c r="D612" t="s">
        <v>502</v>
      </c>
      <c r="E612">
        <v>62</v>
      </c>
      <c r="F612">
        <v>25.28</v>
      </c>
      <c r="G612">
        <v>25.966000000000001</v>
      </c>
      <c r="H612">
        <v>101.5</v>
      </c>
      <c r="I612">
        <v>0</v>
      </c>
      <c r="J612">
        <v>144.03199999999981</v>
      </c>
      <c r="K612">
        <v>9.1894650877909212E-2</v>
      </c>
    </row>
    <row r="613" spans="1:11" x14ac:dyDescent="0.3">
      <c r="A613" s="37">
        <v>1</v>
      </c>
      <c r="B613" t="s">
        <v>384</v>
      </c>
      <c r="C613" t="s">
        <v>500</v>
      </c>
      <c r="D613" t="s">
        <v>502</v>
      </c>
      <c r="E613">
        <v>62</v>
      </c>
      <c r="F613">
        <v>25.28</v>
      </c>
      <c r="G613">
        <v>25.914000000000001</v>
      </c>
      <c r="H613">
        <v>101.5</v>
      </c>
      <c r="I613">
        <v>0</v>
      </c>
      <c r="J613">
        <v>140.80799999999979</v>
      </c>
      <c r="K613">
        <v>8.9837688852592759E-2</v>
      </c>
    </row>
    <row r="614" spans="1:11" x14ac:dyDescent="0.3">
      <c r="A614" s="37">
        <v>1</v>
      </c>
      <c r="B614" t="s">
        <v>385</v>
      </c>
      <c r="C614" t="s">
        <v>500</v>
      </c>
      <c r="D614" t="s">
        <v>502</v>
      </c>
      <c r="E614">
        <v>62</v>
      </c>
      <c r="F614">
        <v>25.28</v>
      </c>
      <c r="G614">
        <v>25.861999999999998</v>
      </c>
      <c r="H614">
        <v>101.5</v>
      </c>
      <c r="I614">
        <v>0</v>
      </c>
      <c r="J614">
        <v>137.5839999999998</v>
      </c>
      <c r="K614">
        <v>8.778072682727632E-2</v>
      </c>
    </row>
    <row r="615" spans="1:11" x14ac:dyDescent="0.3">
      <c r="A615" s="37">
        <v>1</v>
      </c>
      <c r="B615" t="s">
        <v>386</v>
      </c>
      <c r="C615" t="s">
        <v>500</v>
      </c>
      <c r="D615" t="s">
        <v>502</v>
      </c>
      <c r="E615">
        <v>62</v>
      </c>
      <c r="F615">
        <v>25.28</v>
      </c>
      <c r="G615">
        <v>25.81</v>
      </c>
      <c r="H615">
        <v>101.5</v>
      </c>
      <c r="I615">
        <v>0</v>
      </c>
      <c r="J615">
        <v>134.35999999999979</v>
      </c>
      <c r="K615">
        <v>8.5723764801959881E-2</v>
      </c>
    </row>
    <row r="616" spans="1:11" x14ac:dyDescent="0.3">
      <c r="A616" s="37">
        <v>1</v>
      </c>
      <c r="B616" t="s">
        <v>387</v>
      </c>
      <c r="C616" t="s">
        <v>500</v>
      </c>
      <c r="D616" t="s">
        <v>502</v>
      </c>
      <c r="E616">
        <v>62</v>
      </c>
      <c r="F616">
        <v>25.28</v>
      </c>
      <c r="G616">
        <v>25.757999999999999</v>
      </c>
      <c r="H616">
        <v>101.5</v>
      </c>
      <c r="I616">
        <v>0</v>
      </c>
      <c r="J616">
        <v>131.13599999999991</v>
      </c>
      <c r="K616">
        <v>8.3666802776643442E-2</v>
      </c>
    </row>
    <row r="617" spans="1:11" x14ac:dyDescent="0.3">
      <c r="A617" s="37">
        <v>1</v>
      </c>
      <c r="B617" t="s">
        <v>388</v>
      </c>
      <c r="C617" t="s">
        <v>500</v>
      </c>
      <c r="D617" t="s">
        <v>502</v>
      </c>
      <c r="E617">
        <v>62</v>
      </c>
      <c r="F617">
        <v>25.28</v>
      </c>
      <c r="G617">
        <v>25.706</v>
      </c>
      <c r="H617">
        <v>101.5</v>
      </c>
      <c r="I617">
        <v>0</v>
      </c>
      <c r="J617">
        <v>127.91199999999991</v>
      </c>
      <c r="K617">
        <v>8.1609840751327004E-2</v>
      </c>
    </row>
    <row r="618" spans="1:11" x14ac:dyDescent="0.3">
      <c r="A618" s="37">
        <v>1</v>
      </c>
      <c r="B618" t="s">
        <v>389</v>
      </c>
      <c r="C618" t="s">
        <v>500</v>
      </c>
      <c r="D618" t="s">
        <v>502</v>
      </c>
      <c r="E618">
        <v>62</v>
      </c>
      <c r="F618">
        <v>25.28</v>
      </c>
      <c r="G618">
        <v>25.654</v>
      </c>
      <c r="H618">
        <v>101.5</v>
      </c>
      <c r="I618">
        <v>0</v>
      </c>
      <c r="J618">
        <v>124.6879999999999</v>
      </c>
      <c r="K618">
        <v>7.9552878726010565E-2</v>
      </c>
    </row>
    <row r="619" spans="1:11" x14ac:dyDescent="0.3">
      <c r="A619" s="37">
        <v>1</v>
      </c>
      <c r="B619" t="s">
        <v>390</v>
      </c>
      <c r="C619" t="s">
        <v>500</v>
      </c>
      <c r="D619" t="s">
        <v>502</v>
      </c>
      <c r="E619">
        <v>62</v>
      </c>
      <c r="F619">
        <v>25.28</v>
      </c>
      <c r="G619">
        <v>25.602</v>
      </c>
      <c r="H619">
        <v>101.5</v>
      </c>
      <c r="I619">
        <v>0</v>
      </c>
      <c r="J619">
        <v>121.4639999999999</v>
      </c>
      <c r="K619">
        <v>7.7495916700694112E-2</v>
      </c>
    </row>
    <row r="620" spans="1:11" x14ac:dyDescent="0.3">
      <c r="A620" s="37">
        <v>1</v>
      </c>
      <c r="B620" t="s">
        <v>391</v>
      </c>
      <c r="C620" t="s">
        <v>500</v>
      </c>
      <c r="D620" t="s">
        <v>502</v>
      </c>
      <c r="E620">
        <v>62</v>
      </c>
      <c r="F620">
        <v>25.28</v>
      </c>
      <c r="G620">
        <v>25.55</v>
      </c>
      <c r="H620">
        <v>101.5</v>
      </c>
      <c r="I620">
        <v>0</v>
      </c>
      <c r="J620">
        <v>118.2399999999998</v>
      </c>
      <c r="K620">
        <v>7.5438954675377548E-2</v>
      </c>
    </row>
    <row r="621" spans="1:11" x14ac:dyDescent="0.3">
      <c r="A621" s="37">
        <v>1</v>
      </c>
      <c r="B621" t="s">
        <v>392</v>
      </c>
      <c r="C621" t="s">
        <v>500</v>
      </c>
      <c r="D621" t="s">
        <v>502</v>
      </c>
      <c r="E621">
        <v>62</v>
      </c>
      <c r="F621">
        <v>25.28</v>
      </c>
      <c r="G621">
        <v>25.498000000000001</v>
      </c>
      <c r="H621">
        <v>101.5</v>
      </c>
      <c r="I621">
        <v>0</v>
      </c>
      <c r="J621">
        <v>115.01599999999981</v>
      </c>
      <c r="K621">
        <v>7.3381992650061095E-2</v>
      </c>
    </row>
    <row r="622" spans="1:11" x14ac:dyDescent="0.3">
      <c r="A622" s="37">
        <v>1</v>
      </c>
      <c r="B622" t="s">
        <v>393</v>
      </c>
      <c r="C622" t="s">
        <v>500</v>
      </c>
      <c r="D622" t="s">
        <v>502</v>
      </c>
      <c r="E622">
        <v>62</v>
      </c>
      <c r="F622">
        <v>25.28</v>
      </c>
      <c r="G622">
        <v>25.446000000000002</v>
      </c>
      <c r="H622">
        <v>101.5</v>
      </c>
      <c r="I622">
        <v>0</v>
      </c>
      <c r="J622">
        <v>111.7919999999998</v>
      </c>
      <c r="K622">
        <v>7.1325030624744656E-2</v>
      </c>
    </row>
    <row r="623" spans="1:11" x14ac:dyDescent="0.3">
      <c r="A623" s="37">
        <v>1</v>
      </c>
      <c r="B623" t="s">
        <v>394</v>
      </c>
      <c r="C623" t="s">
        <v>500</v>
      </c>
      <c r="D623" t="s">
        <v>502</v>
      </c>
      <c r="E623">
        <v>62</v>
      </c>
      <c r="F623">
        <v>25.28</v>
      </c>
      <c r="G623">
        <v>25.393999999999998</v>
      </c>
      <c r="H623">
        <v>101.5</v>
      </c>
      <c r="I623">
        <v>0</v>
      </c>
      <c r="J623">
        <v>108.5679999999998</v>
      </c>
      <c r="K623">
        <v>6.9268068599428217E-2</v>
      </c>
    </row>
    <row r="624" spans="1:11" x14ac:dyDescent="0.3">
      <c r="A624" s="37">
        <v>1</v>
      </c>
      <c r="B624" t="s">
        <v>395</v>
      </c>
      <c r="C624" t="s">
        <v>500</v>
      </c>
      <c r="D624" t="s">
        <v>502</v>
      </c>
      <c r="E624">
        <v>62</v>
      </c>
      <c r="F624">
        <v>25.28</v>
      </c>
      <c r="G624">
        <v>25.341999999999999</v>
      </c>
      <c r="H624">
        <v>101.5</v>
      </c>
      <c r="I624">
        <v>0</v>
      </c>
      <c r="J624">
        <v>105.34399999999989</v>
      </c>
      <c r="K624">
        <v>6.7211106574111779E-2</v>
      </c>
    </row>
    <row r="625" spans="1:11" x14ac:dyDescent="0.3">
      <c r="A625" s="37">
        <v>1</v>
      </c>
      <c r="B625" t="s">
        <v>396</v>
      </c>
      <c r="C625" t="s">
        <v>500</v>
      </c>
      <c r="D625" t="s">
        <v>502</v>
      </c>
      <c r="E625">
        <v>62</v>
      </c>
      <c r="F625">
        <v>25.28</v>
      </c>
      <c r="G625">
        <v>25.29</v>
      </c>
      <c r="H625">
        <v>101.5</v>
      </c>
      <c r="I625">
        <v>0</v>
      </c>
      <c r="J625">
        <v>102.11999999999991</v>
      </c>
      <c r="K625">
        <v>6.515414454879534E-2</v>
      </c>
    </row>
    <row r="626" spans="1:11" x14ac:dyDescent="0.3">
      <c r="A626" s="37">
        <v>1</v>
      </c>
      <c r="B626" t="s">
        <v>397</v>
      </c>
      <c r="C626" t="s">
        <v>500</v>
      </c>
      <c r="D626" t="s">
        <v>502</v>
      </c>
      <c r="E626">
        <v>62</v>
      </c>
      <c r="F626">
        <v>25.28</v>
      </c>
      <c r="G626">
        <v>25.238</v>
      </c>
      <c r="H626">
        <v>101.5</v>
      </c>
      <c r="I626">
        <v>0</v>
      </c>
      <c r="J626">
        <v>98.895999999999901</v>
      </c>
      <c r="K626">
        <v>6.3097182523478901E-2</v>
      </c>
    </row>
    <row r="627" spans="1:11" x14ac:dyDescent="0.3">
      <c r="A627" s="37">
        <v>1</v>
      </c>
      <c r="B627" t="s">
        <v>398</v>
      </c>
      <c r="C627" t="s">
        <v>500</v>
      </c>
      <c r="D627" t="s">
        <v>502</v>
      </c>
      <c r="E627">
        <v>62</v>
      </c>
      <c r="F627">
        <v>25.28</v>
      </c>
      <c r="G627">
        <v>25.186</v>
      </c>
      <c r="H627">
        <v>101.5</v>
      </c>
      <c r="I627">
        <v>0</v>
      </c>
      <c r="J627">
        <v>95.671999999999926</v>
      </c>
      <c r="K627">
        <v>6.1040220498162462E-2</v>
      </c>
    </row>
    <row r="628" spans="1:11" x14ac:dyDescent="0.3">
      <c r="A628" s="37">
        <v>1</v>
      </c>
      <c r="B628" t="s">
        <v>399</v>
      </c>
      <c r="C628" t="s">
        <v>500</v>
      </c>
      <c r="D628" t="s">
        <v>502</v>
      </c>
      <c r="E628">
        <v>62</v>
      </c>
      <c r="F628">
        <v>25.28</v>
      </c>
      <c r="G628">
        <v>25.134</v>
      </c>
      <c r="H628">
        <v>101.5</v>
      </c>
      <c r="I628">
        <v>0</v>
      </c>
      <c r="J628">
        <v>92.447999999999951</v>
      </c>
      <c r="K628">
        <v>5.8983258472846023E-2</v>
      </c>
    </row>
    <row r="629" spans="1:11" x14ac:dyDescent="0.3">
      <c r="A629" s="37">
        <v>1</v>
      </c>
      <c r="B629" t="s">
        <v>400</v>
      </c>
      <c r="C629" t="s">
        <v>500</v>
      </c>
      <c r="D629" t="s">
        <v>502</v>
      </c>
      <c r="E629">
        <v>62</v>
      </c>
      <c r="F629">
        <v>25.28</v>
      </c>
      <c r="G629">
        <v>25.082000000000001</v>
      </c>
      <c r="H629">
        <v>101.5</v>
      </c>
      <c r="I629">
        <v>0</v>
      </c>
      <c r="J629">
        <v>89.223999999999975</v>
      </c>
      <c r="K629">
        <v>5.6926296447529577E-2</v>
      </c>
    </row>
    <row r="630" spans="1:11" x14ac:dyDescent="0.3">
      <c r="A630" s="37">
        <v>1</v>
      </c>
      <c r="B630" t="s">
        <v>401</v>
      </c>
      <c r="C630" t="s">
        <v>500</v>
      </c>
      <c r="D630" t="s">
        <v>502</v>
      </c>
      <c r="E630">
        <v>62</v>
      </c>
      <c r="F630">
        <v>25.28</v>
      </c>
      <c r="G630">
        <v>25.03</v>
      </c>
      <c r="H630">
        <v>101.5</v>
      </c>
      <c r="I630">
        <v>0</v>
      </c>
      <c r="J630">
        <v>86</v>
      </c>
      <c r="K630">
        <v>5.4869334422213152E-2</v>
      </c>
    </row>
    <row r="631" spans="1:11" x14ac:dyDescent="0.3">
      <c r="A631" s="37">
        <v>1</v>
      </c>
      <c r="B631" t="s">
        <v>402</v>
      </c>
      <c r="C631" t="s">
        <v>500</v>
      </c>
      <c r="D631" t="s">
        <v>502</v>
      </c>
      <c r="E631">
        <v>62</v>
      </c>
      <c r="F631">
        <v>25.28</v>
      </c>
      <c r="G631">
        <v>24.978000000000002</v>
      </c>
      <c r="H631">
        <v>101.5</v>
      </c>
      <c r="I631">
        <v>0</v>
      </c>
      <c r="J631">
        <v>82.775999999999812</v>
      </c>
      <c r="K631">
        <v>5.2812372396896567E-2</v>
      </c>
    </row>
    <row r="632" spans="1:11" x14ac:dyDescent="0.3">
      <c r="A632" s="37">
        <v>1</v>
      </c>
      <c r="B632" t="s">
        <v>403</v>
      </c>
      <c r="C632" t="s">
        <v>500</v>
      </c>
      <c r="D632" t="s">
        <v>502</v>
      </c>
      <c r="E632">
        <v>62</v>
      </c>
      <c r="F632">
        <v>25.28</v>
      </c>
      <c r="G632">
        <v>24.925999999999998</v>
      </c>
      <c r="H632">
        <v>101.5</v>
      </c>
      <c r="I632">
        <v>0</v>
      </c>
      <c r="J632">
        <v>79.551999999999822</v>
      </c>
      <c r="K632">
        <v>5.0755410371580122E-2</v>
      </c>
    </row>
    <row r="633" spans="1:11" x14ac:dyDescent="0.3">
      <c r="A633" s="37">
        <v>1</v>
      </c>
      <c r="B633" t="s">
        <v>404</v>
      </c>
      <c r="C633" t="s">
        <v>500</v>
      </c>
      <c r="D633" t="s">
        <v>502</v>
      </c>
      <c r="E633">
        <v>62</v>
      </c>
      <c r="F633">
        <v>25.28</v>
      </c>
      <c r="G633">
        <v>24.873999999999999</v>
      </c>
      <c r="H633">
        <v>101.5</v>
      </c>
      <c r="I633">
        <v>0</v>
      </c>
      <c r="J633">
        <v>76.327999999999861</v>
      </c>
      <c r="K633">
        <v>4.869844834626369E-2</v>
      </c>
    </row>
    <row r="634" spans="1:11" x14ac:dyDescent="0.3">
      <c r="A634" s="37">
        <v>1</v>
      </c>
      <c r="B634" t="s">
        <v>405</v>
      </c>
      <c r="C634" t="s">
        <v>500</v>
      </c>
      <c r="D634" t="s">
        <v>502</v>
      </c>
      <c r="E634">
        <v>62</v>
      </c>
      <c r="F634">
        <v>25.28</v>
      </c>
      <c r="G634">
        <v>24.821999999999999</v>
      </c>
      <c r="H634">
        <v>101.5</v>
      </c>
      <c r="I634">
        <v>0</v>
      </c>
      <c r="J634">
        <v>73.103999999999871</v>
      </c>
      <c r="K634">
        <v>4.6641486320947237E-2</v>
      </c>
    </row>
    <row r="635" spans="1:11" x14ac:dyDescent="0.3">
      <c r="A635" s="37">
        <v>1</v>
      </c>
      <c r="B635" t="s">
        <v>406</v>
      </c>
      <c r="C635" t="s">
        <v>500</v>
      </c>
      <c r="D635" t="s">
        <v>502</v>
      </c>
      <c r="E635">
        <v>62</v>
      </c>
      <c r="F635">
        <v>25.28</v>
      </c>
      <c r="G635">
        <v>24.77</v>
      </c>
      <c r="H635">
        <v>101.5</v>
      </c>
      <c r="I635">
        <v>0</v>
      </c>
      <c r="J635">
        <v>69.87999999999991</v>
      </c>
      <c r="K635">
        <v>4.4584524295630812E-2</v>
      </c>
    </row>
    <row r="636" spans="1:11" x14ac:dyDescent="0.3">
      <c r="A636" s="37">
        <v>1</v>
      </c>
      <c r="B636" t="s">
        <v>407</v>
      </c>
      <c r="C636" t="s">
        <v>500</v>
      </c>
      <c r="D636" t="s">
        <v>502</v>
      </c>
      <c r="E636">
        <v>62</v>
      </c>
      <c r="F636">
        <v>25.28</v>
      </c>
      <c r="G636">
        <v>24.75</v>
      </c>
      <c r="H636">
        <v>136.27000000000001</v>
      </c>
      <c r="I636">
        <v>0</v>
      </c>
      <c r="J636">
        <v>103.4099999999999</v>
      </c>
      <c r="K636">
        <v>6.5977184565128577E-2</v>
      </c>
    </row>
    <row r="637" spans="1:11" x14ac:dyDescent="0.3">
      <c r="A637" s="37">
        <v>1</v>
      </c>
      <c r="B637" t="s">
        <v>408</v>
      </c>
      <c r="C637" t="s">
        <v>500</v>
      </c>
      <c r="D637" t="s">
        <v>502</v>
      </c>
      <c r="E637">
        <v>62</v>
      </c>
      <c r="F637">
        <v>25.28</v>
      </c>
      <c r="G637">
        <v>24.73</v>
      </c>
      <c r="H637">
        <v>136.27000000000001</v>
      </c>
      <c r="I637">
        <v>0</v>
      </c>
      <c r="J637">
        <v>102.17</v>
      </c>
      <c r="K637">
        <v>6.5186045324622258E-2</v>
      </c>
    </row>
    <row r="638" spans="1:11" x14ac:dyDescent="0.3">
      <c r="A638" s="37">
        <v>1</v>
      </c>
      <c r="B638" t="s">
        <v>409</v>
      </c>
      <c r="C638" t="s">
        <v>500</v>
      </c>
      <c r="D638" t="s">
        <v>502</v>
      </c>
      <c r="E638">
        <v>62</v>
      </c>
      <c r="F638">
        <v>25.28</v>
      </c>
      <c r="G638">
        <v>24.71</v>
      </c>
      <c r="H638">
        <v>136.27000000000001</v>
      </c>
      <c r="I638">
        <v>0</v>
      </c>
      <c r="J638">
        <v>100.93</v>
      </c>
      <c r="K638">
        <v>6.4394906084115952E-2</v>
      </c>
    </row>
    <row r="639" spans="1:11" x14ac:dyDescent="0.3">
      <c r="A639" s="37">
        <v>1</v>
      </c>
      <c r="B639" t="s">
        <v>410</v>
      </c>
      <c r="C639" t="s">
        <v>500</v>
      </c>
      <c r="D639" t="s">
        <v>502</v>
      </c>
      <c r="E639">
        <v>62</v>
      </c>
      <c r="F639">
        <v>25.28</v>
      </c>
      <c r="G639">
        <v>24.69</v>
      </c>
      <c r="H639">
        <v>136.27000000000001</v>
      </c>
      <c r="I639">
        <v>0</v>
      </c>
      <c r="J639">
        <v>99.690000000000026</v>
      </c>
      <c r="K639">
        <v>6.3603766843609646E-2</v>
      </c>
    </row>
    <row r="640" spans="1:11" x14ac:dyDescent="0.3">
      <c r="A640" s="37">
        <v>1</v>
      </c>
      <c r="B640" t="s">
        <v>411</v>
      </c>
      <c r="C640" t="s">
        <v>500</v>
      </c>
      <c r="D640" t="s">
        <v>502</v>
      </c>
      <c r="E640">
        <v>62</v>
      </c>
      <c r="F640">
        <v>25.28</v>
      </c>
      <c r="G640">
        <v>24.67</v>
      </c>
      <c r="H640">
        <v>136.27000000000001</v>
      </c>
      <c r="I640">
        <v>0</v>
      </c>
      <c r="J640">
        <v>98.450000000000045</v>
      </c>
      <c r="K640">
        <v>6.2812627603103327E-2</v>
      </c>
    </row>
    <row r="641" spans="1:11" x14ac:dyDescent="0.3">
      <c r="A641" s="37">
        <v>1</v>
      </c>
      <c r="B641" t="s">
        <v>412</v>
      </c>
      <c r="C641" t="s">
        <v>500</v>
      </c>
      <c r="D641" t="s">
        <v>502</v>
      </c>
      <c r="E641">
        <v>62</v>
      </c>
      <c r="F641">
        <v>25.28</v>
      </c>
      <c r="G641">
        <v>24.65</v>
      </c>
      <c r="H641">
        <v>136.27000000000001</v>
      </c>
      <c r="I641">
        <v>0</v>
      </c>
      <c r="J641">
        <v>97.209999999999852</v>
      </c>
      <c r="K641">
        <v>6.2021488362596883E-2</v>
      </c>
    </row>
    <row r="642" spans="1:11" x14ac:dyDescent="0.3">
      <c r="A642" s="37">
        <v>1</v>
      </c>
      <c r="B642" t="s">
        <v>413</v>
      </c>
      <c r="C642" t="s">
        <v>500</v>
      </c>
      <c r="D642" t="s">
        <v>502</v>
      </c>
      <c r="E642">
        <v>62</v>
      </c>
      <c r="F642">
        <v>25.28</v>
      </c>
      <c r="G642">
        <v>24.63</v>
      </c>
      <c r="H642">
        <v>136.27000000000001</v>
      </c>
      <c r="I642">
        <v>0</v>
      </c>
      <c r="J642">
        <v>95.969999999999885</v>
      </c>
      <c r="K642">
        <v>6.123034912209057E-2</v>
      </c>
    </row>
    <row r="643" spans="1:11" x14ac:dyDescent="0.3">
      <c r="A643" s="37">
        <v>1</v>
      </c>
      <c r="B643" t="s">
        <v>414</v>
      </c>
      <c r="C643" t="s">
        <v>500</v>
      </c>
      <c r="D643" t="s">
        <v>502</v>
      </c>
      <c r="E643">
        <v>62</v>
      </c>
      <c r="F643">
        <v>25.28</v>
      </c>
      <c r="G643">
        <v>24.61</v>
      </c>
      <c r="H643">
        <v>136.27000000000001</v>
      </c>
      <c r="I643">
        <v>0</v>
      </c>
      <c r="J643">
        <v>94.729999999999905</v>
      </c>
      <c r="K643">
        <v>6.0439209881584258E-2</v>
      </c>
    </row>
    <row r="644" spans="1:11" x14ac:dyDescent="0.3">
      <c r="A644" s="37">
        <v>1</v>
      </c>
      <c r="B644" t="s">
        <v>415</v>
      </c>
      <c r="C644" t="s">
        <v>500</v>
      </c>
      <c r="D644" t="s">
        <v>502</v>
      </c>
      <c r="E644">
        <v>62</v>
      </c>
      <c r="F644">
        <v>25.28</v>
      </c>
      <c r="G644">
        <v>24.59</v>
      </c>
      <c r="H644">
        <v>136.27000000000001</v>
      </c>
      <c r="I644">
        <v>0</v>
      </c>
      <c r="J644">
        <v>93.489999999999924</v>
      </c>
      <c r="K644">
        <v>5.9648070641077938E-2</v>
      </c>
    </row>
    <row r="645" spans="1:11" x14ac:dyDescent="0.3">
      <c r="A645" s="37">
        <v>1</v>
      </c>
      <c r="B645" t="s">
        <v>416</v>
      </c>
      <c r="C645" t="s">
        <v>500</v>
      </c>
      <c r="D645" t="s">
        <v>502</v>
      </c>
      <c r="E645">
        <v>62</v>
      </c>
      <c r="F645">
        <v>25.28</v>
      </c>
      <c r="G645">
        <v>24.57</v>
      </c>
      <c r="H645">
        <v>136.27000000000001</v>
      </c>
      <c r="I645">
        <v>0</v>
      </c>
      <c r="J645">
        <v>92.249999999999957</v>
      </c>
      <c r="K645">
        <v>5.8856931400571633E-2</v>
      </c>
    </row>
    <row r="646" spans="1:11" x14ac:dyDescent="0.3">
      <c r="A646" s="37">
        <v>1</v>
      </c>
      <c r="B646" t="s">
        <v>417</v>
      </c>
      <c r="C646" t="s">
        <v>500</v>
      </c>
      <c r="D646" t="s">
        <v>502</v>
      </c>
      <c r="E646">
        <v>62</v>
      </c>
      <c r="F646">
        <v>25.28</v>
      </c>
      <c r="G646">
        <v>24.55</v>
      </c>
      <c r="H646">
        <v>136.27000000000001</v>
      </c>
      <c r="I646">
        <v>0</v>
      </c>
      <c r="J646">
        <v>91.009999999999991</v>
      </c>
      <c r="K646">
        <v>5.806579216006532E-2</v>
      </c>
    </row>
    <row r="647" spans="1:11" x14ac:dyDescent="0.3">
      <c r="A647" s="37">
        <v>1</v>
      </c>
      <c r="B647" t="s">
        <v>418</v>
      </c>
      <c r="C647" t="s">
        <v>500</v>
      </c>
      <c r="D647" t="s">
        <v>502</v>
      </c>
      <c r="E647">
        <v>62</v>
      </c>
      <c r="F647">
        <v>25.28</v>
      </c>
      <c r="G647">
        <v>24.53</v>
      </c>
      <c r="H647">
        <v>136.27000000000001</v>
      </c>
      <c r="I647">
        <v>0</v>
      </c>
      <c r="J647">
        <v>89.77000000000001</v>
      </c>
      <c r="K647">
        <v>5.7274652919559008E-2</v>
      </c>
    </row>
    <row r="648" spans="1:11" x14ac:dyDescent="0.3">
      <c r="A648" s="37">
        <v>1</v>
      </c>
      <c r="B648" t="s">
        <v>419</v>
      </c>
      <c r="C648" t="s">
        <v>500</v>
      </c>
      <c r="D648" t="s">
        <v>502</v>
      </c>
      <c r="E648">
        <v>62</v>
      </c>
      <c r="F648">
        <v>25.28</v>
      </c>
      <c r="G648">
        <v>24.51</v>
      </c>
      <c r="H648">
        <v>136.27000000000001</v>
      </c>
      <c r="I648">
        <v>0</v>
      </c>
      <c r="J648">
        <v>88.53000000000003</v>
      </c>
      <c r="K648">
        <v>5.6483513679052688E-2</v>
      </c>
    </row>
    <row r="649" spans="1:11" x14ac:dyDescent="0.3">
      <c r="A649" s="37">
        <v>1</v>
      </c>
      <c r="B649" t="s">
        <v>420</v>
      </c>
      <c r="C649" t="s">
        <v>500</v>
      </c>
      <c r="D649" t="s">
        <v>502</v>
      </c>
      <c r="E649">
        <v>62</v>
      </c>
      <c r="F649">
        <v>25.28</v>
      </c>
      <c r="G649">
        <v>24.49</v>
      </c>
      <c r="H649">
        <v>136.27000000000001</v>
      </c>
      <c r="I649">
        <v>0</v>
      </c>
      <c r="J649">
        <v>87.290000000000063</v>
      </c>
      <c r="K649">
        <v>5.5692374438546383E-2</v>
      </c>
    </row>
    <row r="650" spans="1:11" x14ac:dyDescent="0.3">
      <c r="A650" s="37">
        <v>1</v>
      </c>
      <c r="B650" t="s">
        <v>421</v>
      </c>
      <c r="C650" t="s">
        <v>500</v>
      </c>
      <c r="D650" t="s">
        <v>502</v>
      </c>
      <c r="E650">
        <v>62</v>
      </c>
      <c r="F650">
        <v>25.28</v>
      </c>
      <c r="G650">
        <v>24.47</v>
      </c>
      <c r="H650">
        <v>136.27000000000001</v>
      </c>
      <c r="I650">
        <v>0</v>
      </c>
      <c r="J650">
        <v>86.049999999999869</v>
      </c>
      <c r="K650">
        <v>5.4901235198039931E-2</v>
      </c>
    </row>
    <row r="651" spans="1:11" x14ac:dyDescent="0.3">
      <c r="A651" s="37">
        <v>1</v>
      </c>
      <c r="B651" t="s">
        <v>422</v>
      </c>
      <c r="C651" t="s">
        <v>500</v>
      </c>
      <c r="D651" t="s">
        <v>502</v>
      </c>
      <c r="E651">
        <v>62</v>
      </c>
      <c r="F651">
        <v>25.28</v>
      </c>
      <c r="G651">
        <v>24.45</v>
      </c>
      <c r="H651">
        <v>136.27000000000001</v>
      </c>
      <c r="I651">
        <v>0</v>
      </c>
      <c r="J651">
        <v>84.809999999999889</v>
      </c>
      <c r="K651">
        <v>5.4110095957533612E-2</v>
      </c>
    </row>
    <row r="652" spans="1:11" x14ac:dyDescent="0.3">
      <c r="A652" s="37">
        <v>1</v>
      </c>
      <c r="B652" t="s">
        <v>423</v>
      </c>
      <c r="C652" t="s">
        <v>500</v>
      </c>
      <c r="D652" t="s">
        <v>502</v>
      </c>
      <c r="E652">
        <v>62</v>
      </c>
      <c r="F652">
        <v>25.28</v>
      </c>
      <c r="G652">
        <v>24.43</v>
      </c>
      <c r="H652">
        <v>136.27000000000001</v>
      </c>
      <c r="I652">
        <v>0</v>
      </c>
      <c r="J652">
        <v>83.569999999999922</v>
      </c>
      <c r="K652">
        <v>5.3318956717027313E-2</v>
      </c>
    </row>
    <row r="653" spans="1:11" x14ac:dyDescent="0.3">
      <c r="A653" s="37">
        <v>1</v>
      </c>
      <c r="B653" t="s">
        <v>424</v>
      </c>
      <c r="C653" t="s">
        <v>500</v>
      </c>
      <c r="D653" t="s">
        <v>502</v>
      </c>
      <c r="E653">
        <v>62</v>
      </c>
      <c r="F653">
        <v>25.28</v>
      </c>
      <c r="G653">
        <v>24.41</v>
      </c>
      <c r="H653">
        <v>136.27000000000001</v>
      </c>
      <c r="I653">
        <v>0</v>
      </c>
      <c r="J653">
        <v>82.329999999999956</v>
      </c>
      <c r="K653">
        <v>5.2527817476520987E-2</v>
      </c>
    </row>
    <row r="654" spans="1:11" x14ac:dyDescent="0.3">
      <c r="A654" s="37">
        <v>1</v>
      </c>
      <c r="B654" t="s">
        <v>425</v>
      </c>
      <c r="C654" t="s">
        <v>500</v>
      </c>
      <c r="D654" t="s">
        <v>502</v>
      </c>
      <c r="E654">
        <v>62</v>
      </c>
      <c r="F654">
        <v>25.28</v>
      </c>
      <c r="G654">
        <v>24.39</v>
      </c>
      <c r="H654">
        <v>136.27000000000001</v>
      </c>
      <c r="I654">
        <v>0</v>
      </c>
      <c r="J654">
        <v>81.089999999999975</v>
      </c>
      <c r="K654">
        <v>5.1736678236014681E-2</v>
      </c>
    </row>
    <row r="655" spans="1:11" x14ac:dyDescent="0.3">
      <c r="A655" s="37">
        <v>1</v>
      </c>
      <c r="B655" t="s">
        <v>426</v>
      </c>
      <c r="C655" t="s">
        <v>500</v>
      </c>
      <c r="D655" t="s">
        <v>502</v>
      </c>
      <c r="E655">
        <v>62</v>
      </c>
      <c r="F655">
        <v>25.28</v>
      </c>
      <c r="G655">
        <v>24.37</v>
      </c>
      <c r="H655">
        <v>136.27000000000001</v>
      </c>
      <c r="I655">
        <v>0</v>
      </c>
      <c r="J655">
        <v>79.849999999999994</v>
      </c>
      <c r="K655">
        <v>5.0945538995508362E-2</v>
      </c>
    </row>
    <row r="656" spans="1:11" x14ac:dyDescent="0.3">
      <c r="A656" s="37">
        <v>1</v>
      </c>
      <c r="B656" t="s">
        <v>427</v>
      </c>
      <c r="C656" t="s">
        <v>500</v>
      </c>
      <c r="D656" t="s">
        <v>502</v>
      </c>
      <c r="E656">
        <v>62</v>
      </c>
      <c r="F656">
        <v>25.28</v>
      </c>
      <c r="G656">
        <v>24.35</v>
      </c>
      <c r="H656">
        <v>136.27000000000001</v>
      </c>
      <c r="I656">
        <v>0</v>
      </c>
      <c r="J656">
        <v>78.610000000000028</v>
      </c>
      <c r="K656">
        <v>5.0154399755002063E-2</v>
      </c>
    </row>
    <row r="657" spans="1:11" x14ac:dyDescent="0.3">
      <c r="A657" s="37">
        <v>1</v>
      </c>
      <c r="B657" t="s">
        <v>428</v>
      </c>
      <c r="C657" t="s">
        <v>500</v>
      </c>
      <c r="D657" t="s">
        <v>502</v>
      </c>
      <c r="E657">
        <v>62</v>
      </c>
      <c r="F657">
        <v>25.28</v>
      </c>
      <c r="G657">
        <v>24.33</v>
      </c>
      <c r="H657">
        <v>136.27000000000001</v>
      </c>
      <c r="I657">
        <v>0</v>
      </c>
      <c r="J657">
        <v>77.370000000000061</v>
      </c>
      <c r="K657">
        <v>4.9363260514495751E-2</v>
      </c>
    </row>
    <row r="658" spans="1:11" x14ac:dyDescent="0.3">
      <c r="A658" s="37">
        <v>1</v>
      </c>
      <c r="B658" t="s">
        <v>429</v>
      </c>
      <c r="C658" t="s">
        <v>500</v>
      </c>
      <c r="D658" t="s">
        <v>502</v>
      </c>
      <c r="E658">
        <v>62</v>
      </c>
      <c r="F658">
        <v>25.28</v>
      </c>
      <c r="G658">
        <v>24.31</v>
      </c>
      <c r="H658">
        <v>136.27000000000001</v>
      </c>
      <c r="I658">
        <v>0</v>
      </c>
      <c r="J658">
        <v>76.130000000000081</v>
      </c>
      <c r="K658">
        <v>4.8572121273989431E-2</v>
      </c>
    </row>
    <row r="659" spans="1:11" x14ac:dyDescent="0.3">
      <c r="A659" s="37">
        <v>1</v>
      </c>
      <c r="B659" t="s">
        <v>430</v>
      </c>
      <c r="C659" t="s">
        <v>500</v>
      </c>
      <c r="D659" t="s">
        <v>502</v>
      </c>
      <c r="E659">
        <v>62</v>
      </c>
      <c r="F659">
        <v>25.28</v>
      </c>
      <c r="G659">
        <v>24.29</v>
      </c>
      <c r="H659">
        <v>136.27000000000001</v>
      </c>
      <c r="I659">
        <v>0</v>
      </c>
      <c r="J659">
        <v>74.8900000000001</v>
      </c>
      <c r="K659">
        <v>4.7780982033483112E-2</v>
      </c>
    </row>
    <row r="660" spans="1:11" x14ac:dyDescent="0.3">
      <c r="A660" s="37">
        <v>1</v>
      </c>
      <c r="B660" t="s">
        <v>431</v>
      </c>
      <c r="C660" t="s">
        <v>500</v>
      </c>
      <c r="D660" t="s">
        <v>502</v>
      </c>
      <c r="E660">
        <v>62</v>
      </c>
      <c r="F660">
        <v>25.28</v>
      </c>
      <c r="G660">
        <v>24.27</v>
      </c>
      <c r="H660">
        <v>136.27000000000001</v>
      </c>
      <c r="I660">
        <v>0</v>
      </c>
      <c r="J660">
        <v>73.650000000000134</v>
      </c>
      <c r="K660">
        <v>4.6989842792976813E-2</v>
      </c>
    </row>
    <row r="661" spans="1:11" x14ac:dyDescent="0.3">
      <c r="A661" s="37">
        <v>1</v>
      </c>
      <c r="B661" t="s">
        <v>432</v>
      </c>
      <c r="C661" t="s">
        <v>500</v>
      </c>
      <c r="D661" t="s">
        <v>502</v>
      </c>
      <c r="E661">
        <v>62</v>
      </c>
      <c r="F661">
        <v>25.28</v>
      </c>
      <c r="G661">
        <v>24.25</v>
      </c>
      <c r="H661">
        <v>136.27000000000001</v>
      </c>
      <c r="I661">
        <v>0</v>
      </c>
      <c r="J661">
        <v>72.40999999999994</v>
      </c>
      <c r="K661">
        <v>4.6198703552470348E-2</v>
      </c>
    </row>
    <row r="662" spans="1:11" x14ac:dyDescent="0.3">
      <c r="A662" s="37">
        <v>1</v>
      </c>
      <c r="B662" t="s">
        <v>433</v>
      </c>
      <c r="C662" t="s">
        <v>500</v>
      </c>
      <c r="D662" t="s">
        <v>502</v>
      </c>
      <c r="E662">
        <v>62</v>
      </c>
      <c r="F662">
        <v>25.28</v>
      </c>
      <c r="G662">
        <v>24.23</v>
      </c>
      <c r="H662">
        <v>136.27000000000001</v>
      </c>
      <c r="I662">
        <v>0</v>
      </c>
      <c r="J662">
        <v>71.169999999999959</v>
      </c>
      <c r="K662">
        <v>4.5407564311964042E-2</v>
      </c>
    </row>
    <row r="663" spans="1:11" x14ac:dyDescent="0.3">
      <c r="A663" s="37">
        <v>1</v>
      </c>
      <c r="B663" t="s">
        <v>434</v>
      </c>
      <c r="C663" t="s">
        <v>500</v>
      </c>
      <c r="D663" t="s">
        <v>502</v>
      </c>
      <c r="E663">
        <v>62</v>
      </c>
      <c r="F663">
        <v>25.28</v>
      </c>
      <c r="G663">
        <v>24.21</v>
      </c>
      <c r="H663">
        <v>136.27000000000001</v>
      </c>
      <c r="I663">
        <v>0</v>
      </c>
      <c r="J663">
        <v>69.929999999999993</v>
      </c>
      <c r="K663">
        <v>4.461642507145773E-2</v>
      </c>
    </row>
    <row r="664" spans="1:11" x14ac:dyDescent="0.3">
      <c r="A664" s="37">
        <v>1</v>
      </c>
      <c r="B664" t="s">
        <v>435</v>
      </c>
      <c r="C664" t="s">
        <v>500</v>
      </c>
      <c r="D664" t="s">
        <v>502</v>
      </c>
      <c r="E664">
        <v>62</v>
      </c>
      <c r="F664">
        <v>25.28</v>
      </c>
      <c r="G664">
        <v>24.19</v>
      </c>
      <c r="H664">
        <v>136.27000000000001</v>
      </c>
      <c r="I664">
        <v>0</v>
      </c>
      <c r="J664">
        <v>68.690000000000026</v>
      </c>
      <c r="K664">
        <v>4.3825285830951417E-2</v>
      </c>
    </row>
    <row r="665" spans="1:11" x14ac:dyDescent="0.3">
      <c r="A665" s="37">
        <v>1</v>
      </c>
      <c r="B665" t="s">
        <v>436</v>
      </c>
      <c r="C665" t="s">
        <v>500</v>
      </c>
      <c r="D665" t="s">
        <v>502</v>
      </c>
      <c r="E665">
        <v>62</v>
      </c>
      <c r="F665">
        <v>25.28</v>
      </c>
      <c r="G665">
        <v>24.17</v>
      </c>
      <c r="H665">
        <v>136.27000000000001</v>
      </c>
      <c r="I665">
        <v>0</v>
      </c>
      <c r="J665">
        <v>67.450000000000045</v>
      </c>
      <c r="K665">
        <v>4.3034146590445098E-2</v>
      </c>
    </row>
    <row r="666" spans="1:11" x14ac:dyDescent="0.3">
      <c r="A666" s="37">
        <v>1</v>
      </c>
      <c r="B666" t="s">
        <v>437</v>
      </c>
      <c r="C666" t="s">
        <v>500</v>
      </c>
      <c r="D666" t="s">
        <v>502</v>
      </c>
      <c r="E666">
        <v>62</v>
      </c>
      <c r="F666">
        <v>25.28</v>
      </c>
      <c r="G666">
        <v>24.279687500000001</v>
      </c>
      <c r="H666">
        <v>136.27000000000001</v>
      </c>
      <c r="I666">
        <v>0</v>
      </c>
      <c r="J666">
        <v>74.250625000000028</v>
      </c>
      <c r="K666">
        <v>4.7373050862596987E-2</v>
      </c>
    </row>
    <row r="667" spans="1:11" x14ac:dyDescent="0.3">
      <c r="A667" s="37">
        <v>1</v>
      </c>
      <c r="B667" t="s">
        <v>438</v>
      </c>
      <c r="C667" t="s">
        <v>500</v>
      </c>
      <c r="D667" t="s">
        <v>502</v>
      </c>
      <c r="E667">
        <v>62</v>
      </c>
      <c r="F667">
        <v>25.28</v>
      </c>
      <c r="G667">
        <v>24.389375000000001</v>
      </c>
      <c r="H667">
        <v>136.27000000000001</v>
      </c>
      <c r="I667">
        <v>0</v>
      </c>
      <c r="J667">
        <v>81.05125000000001</v>
      </c>
      <c r="K667">
        <v>5.1711955134748883E-2</v>
      </c>
    </row>
    <row r="668" spans="1:11" x14ac:dyDescent="0.3">
      <c r="A668" s="37">
        <v>1</v>
      </c>
      <c r="B668" t="s">
        <v>439</v>
      </c>
      <c r="C668" t="s">
        <v>500</v>
      </c>
      <c r="D668" t="s">
        <v>502</v>
      </c>
      <c r="E668">
        <v>72</v>
      </c>
      <c r="F668">
        <v>25.14</v>
      </c>
      <c r="G668">
        <v>24.499062500000001</v>
      </c>
      <c r="H668">
        <v>136.27000000000001</v>
      </c>
      <c r="I668">
        <v>0</v>
      </c>
      <c r="J668">
        <v>90.122500000000031</v>
      </c>
      <c r="K668">
        <v>4.9789235834880242E-2</v>
      </c>
    </row>
    <row r="669" spans="1:11" x14ac:dyDescent="0.3">
      <c r="A669" s="37">
        <v>1</v>
      </c>
      <c r="B669" t="s">
        <v>440</v>
      </c>
      <c r="C669" t="s">
        <v>500</v>
      </c>
      <c r="D669" t="s">
        <v>502</v>
      </c>
      <c r="E669">
        <v>72</v>
      </c>
      <c r="F669">
        <v>25.14</v>
      </c>
      <c r="G669">
        <v>24.608750000000001</v>
      </c>
      <c r="H669">
        <v>136.27000000000001</v>
      </c>
      <c r="I669">
        <v>0</v>
      </c>
      <c r="J669">
        <v>98.02000000000001</v>
      </c>
      <c r="K669">
        <v>5.415230266065589E-2</v>
      </c>
    </row>
    <row r="670" spans="1:11" x14ac:dyDescent="0.3">
      <c r="A670" s="37">
        <v>1</v>
      </c>
      <c r="B670" t="s">
        <v>441</v>
      </c>
      <c r="C670" t="s">
        <v>500</v>
      </c>
      <c r="D670" t="s">
        <v>502</v>
      </c>
      <c r="E670">
        <v>72</v>
      </c>
      <c r="F670">
        <v>25.14</v>
      </c>
      <c r="G670">
        <v>24.7184375</v>
      </c>
      <c r="H670">
        <v>136.27000000000001</v>
      </c>
      <c r="I670">
        <v>0</v>
      </c>
      <c r="J670">
        <v>105.9175</v>
      </c>
      <c r="K670">
        <v>5.8515369486431539E-2</v>
      </c>
    </row>
    <row r="671" spans="1:11" x14ac:dyDescent="0.3">
      <c r="A671" s="37">
        <v>1</v>
      </c>
      <c r="B671" t="s">
        <v>442</v>
      </c>
      <c r="C671" t="s">
        <v>500</v>
      </c>
      <c r="D671" t="s">
        <v>502</v>
      </c>
      <c r="E671">
        <v>72</v>
      </c>
      <c r="F671">
        <v>25.14</v>
      </c>
      <c r="G671">
        <v>24.828125</v>
      </c>
      <c r="H671">
        <v>136.27000000000001</v>
      </c>
      <c r="I671">
        <v>0</v>
      </c>
      <c r="J671">
        <v>113.815</v>
      </c>
      <c r="K671">
        <v>6.2878436312207187E-2</v>
      </c>
    </row>
    <row r="672" spans="1:11" x14ac:dyDescent="0.3">
      <c r="A672" s="37">
        <v>1</v>
      </c>
      <c r="B672" t="s">
        <v>443</v>
      </c>
      <c r="C672" t="s">
        <v>500</v>
      </c>
      <c r="D672" t="s">
        <v>502</v>
      </c>
      <c r="E672">
        <v>72</v>
      </c>
      <c r="F672">
        <v>25.14</v>
      </c>
      <c r="G672">
        <v>24.9378125</v>
      </c>
      <c r="H672">
        <v>136.27000000000001</v>
      </c>
      <c r="I672">
        <v>0</v>
      </c>
      <c r="J672">
        <v>121.71249999999991</v>
      </c>
      <c r="K672">
        <v>6.7241503137982828E-2</v>
      </c>
    </row>
    <row r="673" spans="1:11" x14ac:dyDescent="0.3">
      <c r="A673" s="37">
        <v>1</v>
      </c>
      <c r="B673" t="s">
        <v>444</v>
      </c>
      <c r="C673" t="s">
        <v>500</v>
      </c>
      <c r="D673" t="s">
        <v>502</v>
      </c>
      <c r="E673">
        <v>72</v>
      </c>
      <c r="F673">
        <v>25.14</v>
      </c>
      <c r="G673">
        <v>25.047499999999999</v>
      </c>
      <c r="H673">
        <v>136.27000000000001</v>
      </c>
      <c r="I673">
        <v>0</v>
      </c>
      <c r="J673">
        <v>129.6099999999999</v>
      </c>
      <c r="K673">
        <v>7.1604569963758469E-2</v>
      </c>
    </row>
    <row r="674" spans="1:11" x14ac:dyDescent="0.3">
      <c r="A674" s="37">
        <v>1</v>
      </c>
      <c r="B674" t="s">
        <v>445</v>
      </c>
      <c r="C674" t="s">
        <v>500</v>
      </c>
      <c r="D674" t="s">
        <v>502</v>
      </c>
      <c r="E674">
        <v>72</v>
      </c>
      <c r="F674">
        <v>25.14</v>
      </c>
      <c r="G674">
        <v>25.157187499999999</v>
      </c>
      <c r="H674">
        <v>136.27000000000001</v>
      </c>
      <c r="I674">
        <v>0</v>
      </c>
      <c r="J674">
        <v>137.50750000000019</v>
      </c>
      <c r="K674">
        <v>7.5967636789534262E-2</v>
      </c>
    </row>
    <row r="675" spans="1:11" x14ac:dyDescent="0.3">
      <c r="A675" s="37">
        <v>1</v>
      </c>
      <c r="B675" t="s">
        <v>446</v>
      </c>
      <c r="C675" t="s">
        <v>500</v>
      </c>
      <c r="D675" t="s">
        <v>502</v>
      </c>
      <c r="E675">
        <v>72</v>
      </c>
      <c r="F675">
        <v>25.14</v>
      </c>
      <c r="G675">
        <v>25.266874999999999</v>
      </c>
      <c r="H675">
        <v>136.27000000000001</v>
      </c>
      <c r="I675">
        <v>0</v>
      </c>
      <c r="J675">
        <v>145.40500000000009</v>
      </c>
      <c r="K675">
        <v>8.0330703615309904E-2</v>
      </c>
    </row>
    <row r="676" spans="1:11" x14ac:dyDescent="0.3">
      <c r="A676" s="37">
        <v>1</v>
      </c>
      <c r="B676" t="s">
        <v>447</v>
      </c>
      <c r="C676" t="s">
        <v>500</v>
      </c>
      <c r="D676" t="s">
        <v>502</v>
      </c>
      <c r="E676">
        <v>72</v>
      </c>
      <c r="F676">
        <v>25.14</v>
      </c>
      <c r="G676">
        <v>25.376562499999999</v>
      </c>
      <c r="H676">
        <v>136.27000000000001</v>
      </c>
      <c r="I676">
        <v>0</v>
      </c>
      <c r="J676">
        <v>153.30250000000009</v>
      </c>
      <c r="K676">
        <v>8.4693770441085545E-2</v>
      </c>
    </row>
    <row r="677" spans="1:11" x14ac:dyDescent="0.3">
      <c r="A677" s="37">
        <v>1</v>
      </c>
      <c r="B677" t="s">
        <v>448</v>
      </c>
      <c r="C677" t="s">
        <v>500</v>
      </c>
      <c r="D677" t="s">
        <v>502</v>
      </c>
      <c r="E677">
        <v>72</v>
      </c>
      <c r="F677">
        <v>25.14</v>
      </c>
      <c r="G677">
        <v>25.486249999999998</v>
      </c>
      <c r="H677">
        <v>136.27000000000001</v>
      </c>
      <c r="I677">
        <v>0</v>
      </c>
      <c r="J677">
        <v>161.2000000000001</v>
      </c>
      <c r="K677">
        <v>8.90568372668612E-2</v>
      </c>
    </row>
    <row r="678" spans="1:11" x14ac:dyDescent="0.3">
      <c r="A678" s="37">
        <v>1</v>
      </c>
      <c r="B678" t="s">
        <v>449</v>
      </c>
      <c r="C678" t="s">
        <v>500</v>
      </c>
      <c r="D678" t="s">
        <v>502</v>
      </c>
      <c r="E678">
        <v>72</v>
      </c>
      <c r="F678">
        <v>25.14</v>
      </c>
      <c r="G678">
        <v>25.595937500000002</v>
      </c>
      <c r="H678">
        <v>136.27000000000001</v>
      </c>
      <c r="I678">
        <v>0</v>
      </c>
      <c r="J678">
        <v>169.09750000000011</v>
      </c>
      <c r="K678">
        <v>9.3419904092636841E-2</v>
      </c>
    </row>
    <row r="679" spans="1:11" x14ac:dyDescent="0.3">
      <c r="A679" s="37">
        <v>1</v>
      </c>
      <c r="B679" t="s">
        <v>450</v>
      </c>
      <c r="C679" t="s">
        <v>500</v>
      </c>
      <c r="D679" t="s">
        <v>502</v>
      </c>
      <c r="E679">
        <v>72</v>
      </c>
      <c r="F679">
        <v>25.14</v>
      </c>
      <c r="G679">
        <v>25.705625000000001</v>
      </c>
      <c r="H679">
        <v>136.27000000000001</v>
      </c>
      <c r="I679">
        <v>0</v>
      </c>
      <c r="J679">
        <v>176.99500000000009</v>
      </c>
      <c r="K679">
        <v>9.7782970918412482E-2</v>
      </c>
    </row>
    <row r="680" spans="1:11" x14ac:dyDescent="0.3">
      <c r="A680" s="37">
        <v>1</v>
      </c>
      <c r="B680" t="s">
        <v>451</v>
      </c>
      <c r="C680" t="s">
        <v>500</v>
      </c>
      <c r="D680" t="s">
        <v>502</v>
      </c>
      <c r="E680">
        <v>72</v>
      </c>
      <c r="F680">
        <v>25.14</v>
      </c>
      <c r="G680">
        <v>25.815312500000001</v>
      </c>
      <c r="H680">
        <v>136.27000000000001</v>
      </c>
      <c r="I680">
        <v>0</v>
      </c>
      <c r="J680">
        <v>184.89250000000001</v>
      </c>
      <c r="K680">
        <v>0.1021460377441881</v>
      </c>
    </row>
    <row r="681" spans="1:11" x14ac:dyDescent="0.3">
      <c r="A681" s="37">
        <v>1</v>
      </c>
      <c r="B681" t="s">
        <v>452</v>
      </c>
      <c r="C681" t="s">
        <v>500</v>
      </c>
      <c r="D681" t="s">
        <v>502</v>
      </c>
      <c r="E681">
        <v>72</v>
      </c>
      <c r="F681">
        <v>25.14</v>
      </c>
      <c r="G681">
        <v>25.925000000000001</v>
      </c>
      <c r="H681">
        <v>136.27000000000001</v>
      </c>
      <c r="I681">
        <v>0</v>
      </c>
      <c r="J681">
        <v>192.79</v>
      </c>
      <c r="K681">
        <v>0.10650910456996381</v>
      </c>
    </row>
    <row r="682" spans="1:11" x14ac:dyDescent="0.3">
      <c r="A682" s="37">
        <v>1</v>
      </c>
      <c r="B682" t="s">
        <v>453</v>
      </c>
      <c r="C682" t="s">
        <v>500</v>
      </c>
      <c r="D682" t="s">
        <v>502</v>
      </c>
      <c r="E682">
        <v>72</v>
      </c>
      <c r="F682">
        <v>25.14</v>
      </c>
      <c r="G682">
        <v>26.0346875</v>
      </c>
      <c r="H682">
        <v>136.27000000000001</v>
      </c>
      <c r="I682">
        <v>0</v>
      </c>
      <c r="J682">
        <v>200.6875</v>
      </c>
      <c r="K682">
        <v>0.11087217139573941</v>
      </c>
    </row>
    <row r="683" spans="1:11" x14ac:dyDescent="0.3">
      <c r="A683" s="37">
        <v>1</v>
      </c>
      <c r="B683" t="s">
        <v>454</v>
      </c>
      <c r="C683" t="s">
        <v>500</v>
      </c>
      <c r="D683" t="s">
        <v>502</v>
      </c>
      <c r="E683">
        <v>72</v>
      </c>
      <c r="F683">
        <v>25.14</v>
      </c>
      <c r="G683">
        <v>26.144375</v>
      </c>
      <c r="H683">
        <v>136.27000000000001</v>
      </c>
      <c r="I683">
        <v>0</v>
      </c>
      <c r="J683">
        <v>208.58500000000001</v>
      </c>
      <c r="K683">
        <v>0.1152352382215151</v>
      </c>
    </row>
    <row r="684" spans="1:11" x14ac:dyDescent="0.3">
      <c r="A684" s="37">
        <v>1</v>
      </c>
      <c r="B684" t="s">
        <v>455</v>
      </c>
      <c r="C684" t="s">
        <v>500</v>
      </c>
      <c r="D684" t="s">
        <v>502</v>
      </c>
      <c r="E684">
        <v>72</v>
      </c>
      <c r="F684">
        <v>25.14</v>
      </c>
      <c r="G684">
        <v>26.2540625</v>
      </c>
      <c r="H684">
        <v>136.27000000000001</v>
      </c>
      <c r="I684">
        <v>0</v>
      </c>
      <c r="J684">
        <v>216.48249999999999</v>
      </c>
      <c r="K684">
        <v>0.1195983050472907</v>
      </c>
    </row>
    <row r="685" spans="1:11" x14ac:dyDescent="0.3">
      <c r="A685" s="37">
        <v>1</v>
      </c>
      <c r="B685" t="s">
        <v>456</v>
      </c>
      <c r="C685" t="s">
        <v>500</v>
      </c>
      <c r="D685" t="s">
        <v>502</v>
      </c>
      <c r="E685">
        <v>72</v>
      </c>
      <c r="F685">
        <v>25.14</v>
      </c>
      <c r="G685">
        <v>26.36375</v>
      </c>
      <c r="H685">
        <v>136.27000000000001</v>
      </c>
      <c r="I685">
        <v>0</v>
      </c>
      <c r="J685">
        <v>224.37999999999991</v>
      </c>
      <c r="K685">
        <v>0.1239613718730664</v>
      </c>
    </row>
    <row r="686" spans="1:11" x14ac:dyDescent="0.3">
      <c r="A686" s="37">
        <v>1</v>
      </c>
      <c r="B686" t="s">
        <v>457</v>
      </c>
      <c r="C686" t="s">
        <v>500</v>
      </c>
      <c r="D686" t="s">
        <v>502</v>
      </c>
      <c r="E686">
        <v>72</v>
      </c>
      <c r="F686">
        <v>25.14</v>
      </c>
      <c r="G686">
        <v>26.473437499999999</v>
      </c>
      <c r="H686">
        <v>136.27000000000001</v>
      </c>
      <c r="I686">
        <v>0</v>
      </c>
      <c r="J686">
        <v>232.27749999999989</v>
      </c>
      <c r="K686">
        <v>0.128324438698842</v>
      </c>
    </row>
    <row r="687" spans="1:11" x14ac:dyDescent="0.3">
      <c r="A687" s="37">
        <v>1</v>
      </c>
      <c r="B687" t="s">
        <v>458</v>
      </c>
      <c r="C687" t="s">
        <v>500</v>
      </c>
      <c r="D687" t="s">
        <v>502</v>
      </c>
      <c r="E687">
        <v>72</v>
      </c>
      <c r="F687">
        <v>25.14</v>
      </c>
      <c r="G687">
        <v>26.583124999999999</v>
      </c>
      <c r="H687">
        <v>136.27000000000001</v>
      </c>
      <c r="I687">
        <v>0</v>
      </c>
      <c r="J687">
        <v>240.1749999999999</v>
      </c>
      <c r="K687">
        <v>0.13268750552461761</v>
      </c>
    </row>
    <row r="688" spans="1:11" x14ac:dyDescent="0.3">
      <c r="A688" s="37">
        <v>1</v>
      </c>
      <c r="B688" t="s">
        <v>459</v>
      </c>
      <c r="C688" t="s">
        <v>500</v>
      </c>
      <c r="D688" t="s">
        <v>502</v>
      </c>
      <c r="E688">
        <v>72</v>
      </c>
      <c r="F688">
        <v>25.14</v>
      </c>
      <c r="G688">
        <v>26.692812499999999</v>
      </c>
      <c r="H688">
        <v>136.27000000000001</v>
      </c>
      <c r="I688">
        <v>0</v>
      </c>
      <c r="J688">
        <v>248.0725000000001</v>
      </c>
      <c r="K688">
        <v>0.13705057235039339</v>
      </c>
    </row>
    <row r="689" spans="1:11" x14ac:dyDescent="0.3">
      <c r="A689" s="37">
        <v>1</v>
      </c>
      <c r="B689" t="s">
        <v>460</v>
      </c>
      <c r="C689" t="s">
        <v>500</v>
      </c>
      <c r="D689" t="s">
        <v>502</v>
      </c>
      <c r="E689">
        <v>72</v>
      </c>
      <c r="F689">
        <v>25.14</v>
      </c>
      <c r="G689">
        <v>26.802499999999998</v>
      </c>
      <c r="H689">
        <v>136.27000000000001</v>
      </c>
      <c r="I689">
        <v>0</v>
      </c>
      <c r="J689">
        <v>255.97000000000011</v>
      </c>
      <c r="K689">
        <v>0.14141363917616909</v>
      </c>
    </row>
    <row r="690" spans="1:11" x14ac:dyDescent="0.3">
      <c r="A690" s="37">
        <v>1</v>
      </c>
      <c r="B690" t="s">
        <v>461</v>
      </c>
      <c r="C690" t="s">
        <v>500</v>
      </c>
      <c r="D690" t="s">
        <v>502</v>
      </c>
      <c r="E690">
        <v>72</v>
      </c>
      <c r="F690">
        <v>25.14</v>
      </c>
      <c r="G690">
        <v>26.912187500000002</v>
      </c>
      <c r="H690">
        <v>136.27000000000001</v>
      </c>
      <c r="I690">
        <v>0</v>
      </c>
      <c r="J690">
        <v>263.86750000000012</v>
      </c>
      <c r="K690">
        <v>0.1457767060019447</v>
      </c>
    </row>
    <row r="691" spans="1:11" x14ac:dyDescent="0.3">
      <c r="A691" s="37">
        <v>1</v>
      </c>
      <c r="B691" t="s">
        <v>462</v>
      </c>
      <c r="C691" t="s">
        <v>500</v>
      </c>
      <c r="D691" t="s">
        <v>502</v>
      </c>
      <c r="E691">
        <v>72</v>
      </c>
      <c r="F691">
        <v>25.14</v>
      </c>
      <c r="G691">
        <v>27.021875000000001</v>
      </c>
      <c r="H691">
        <v>136.27000000000001</v>
      </c>
      <c r="I691">
        <v>0</v>
      </c>
      <c r="J691">
        <v>271.7650000000001</v>
      </c>
      <c r="K691">
        <v>0.1501397728277204</v>
      </c>
    </row>
    <row r="692" spans="1:11" x14ac:dyDescent="0.3">
      <c r="A692" s="37">
        <v>1</v>
      </c>
      <c r="B692" t="s">
        <v>463</v>
      </c>
      <c r="C692" t="s">
        <v>500</v>
      </c>
      <c r="D692" t="s">
        <v>502</v>
      </c>
      <c r="E692">
        <v>72</v>
      </c>
      <c r="F692">
        <v>25.14</v>
      </c>
      <c r="G692">
        <v>27.131562500000001</v>
      </c>
      <c r="H692">
        <v>136.27000000000001</v>
      </c>
      <c r="I692">
        <v>0</v>
      </c>
      <c r="J692">
        <v>279.66250000000002</v>
      </c>
      <c r="K692">
        <v>0.15450283965349601</v>
      </c>
    </row>
    <row r="693" spans="1:11" x14ac:dyDescent="0.3">
      <c r="A693" s="37">
        <v>1</v>
      </c>
      <c r="B693" t="s">
        <v>464</v>
      </c>
      <c r="C693" t="s">
        <v>500</v>
      </c>
      <c r="D693" t="s">
        <v>502</v>
      </c>
      <c r="E693">
        <v>72</v>
      </c>
      <c r="F693">
        <v>25.14</v>
      </c>
      <c r="G693">
        <v>27.241250000000001</v>
      </c>
      <c r="H693">
        <v>136.27000000000001</v>
      </c>
      <c r="I693">
        <v>0</v>
      </c>
      <c r="J693">
        <v>287.56000000000012</v>
      </c>
      <c r="K693">
        <v>0.15886590647927171</v>
      </c>
    </row>
    <row r="694" spans="1:11" x14ac:dyDescent="0.3">
      <c r="A694" s="37">
        <v>1</v>
      </c>
      <c r="B694" t="s">
        <v>465</v>
      </c>
      <c r="C694" t="s">
        <v>500</v>
      </c>
      <c r="D694" t="s">
        <v>502</v>
      </c>
      <c r="E694">
        <v>72</v>
      </c>
      <c r="F694">
        <v>25.14</v>
      </c>
      <c r="G694">
        <v>27.350937500000001</v>
      </c>
      <c r="H694">
        <v>136.27000000000001</v>
      </c>
      <c r="I694">
        <v>0</v>
      </c>
      <c r="J694">
        <v>295.45749999999998</v>
      </c>
      <c r="K694">
        <v>0.16322897330504729</v>
      </c>
    </row>
    <row r="695" spans="1:11" x14ac:dyDescent="0.3">
      <c r="A695" s="37">
        <v>1</v>
      </c>
      <c r="B695" t="s">
        <v>466</v>
      </c>
      <c r="C695" t="s">
        <v>500</v>
      </c>
      <c r="D695" t="s">
        <v>502</v>
      </c>
      <c r="E695">
        <v>72</v>
      </c>
      <c r="F695">
        <v>25.14</v>
      </c>
      <c r="G695">
        <v>27.460625</v>
      </c>
      <c r="H695">
        <v>136.27000000000001</v>
      </c>
      <c r="I695">
        <v>0</v>
      </c>
      <c r="J695">
        <v>303.35500000000002</v>
      </c>
      <c r="K695">
        <v>0.16759204013082299</v>
      </c>
    </row>
    <row r="696" spans="1:11" x14ac:dyDescent="0.3">
      <c r="A696" s="37">
        <v>1</v>
      </c>
      <c r="B696" t="s">
        <v>467</v>
      </c>
      <c r="C696" t="s">
        <v>500</v>
      </c>
      <c r="D696" t="s">
        <v>502</v>
      </c>
      <c r="E696">
        <v>72</v>
      </c>
      <c r="F696">
        <v>25.14</v>
      </c>
      <c r="G696">
        <v>27.5703125</v>
      </c>
      <c r="H696">
        <v>136.27000000000001</v>
      </c>
      <c r="I696">
        <v>0</v>
      </c>
      <c r="J696">
        <v>311.25249999999988</v>
      </c>
      <c r="K696">
        <v>0.1719551069565986</v>
      </c>
    </row>
    <row r="697" spans="1:11" x14ac:dyDescent="0.3">
      <c r="A697" s="37">
        <v>1</v>
      </c>
      <c r="B697" t="s">
        <v>468</v>
      </c>
      <c r="C697" t="s">
        <v>500</v>
      </c>
      <c r="D697" t="s">
        <v>502</v>
      </c>
      <c r="E697">
        <v>72</v>
      </c>
      <c r="F697">
        <v>25.14</v>
      </c>
      <c r="G697">
        <v>27.68</v>
      </c>
      <c r="H697">
        <v>136.27000000000001</v>
      </c>
      <c r="I697">
        <v>0</v>
      </c>
      <c r="J697">
        <v>319.14999999999998</v>
      </c>
      <c r="K697">
        <v>0.17631817378237419</v>
      </c>
    </row>
    <row r="698" spans="1:11" x14ac:dyDescent="0.3">
      <c r="A698" s="37">
        <v>1</v>
      </c>
      <c r="B698" t="s">
        <v>469</v>
      </c>
      <c r="C698" t="s">
        <v>500</v>
      </c>
      <c r="D698" t="s">
        <v>502</v>
      </c>
      <c r="E698">
        <v>72</v>
      </c>
      <c r="F698">
        <v>25.14</v>
      </c>
      <c r="G698">
        <v>27.694285714285719</v>
      </c>
      <c r="H698">
        <v>136.27000000000001</v>
      </c>
      <c r="I698">
        <v>0</v>
      </c>
      <c r="J698">
        <v>320.1785714285715</v>
      </c>
      <c r="K698">
        <v>0.17688642017400971</v>
      </c>
    </row>
    <row r="699" spans="1:11" x14ac:dyDescent="0.3">
      <c r="A699" s="37">
        <v>1</v>
      </c>
      <c r="B699" t="s">
        <v>470</v>
      </c>
      <c r="C699" t="s">
        <v>500</v>
      </c>
      <c r="D699" t="s">
        <v>502</v>
      </c>
      <c r="E699">
        <v>72</v>
      </c>
      <c r="F699">
        <v>25.14</v>
      </c>
      <c r="G699">
        <v>27.708571428571432</v>
      </c>
      <c r="H699">
        <v>136.27000000000001</v>
      </c>
      <c r="I699">
        <v>0</v>
      </c>
      <c r="J699">
        <v>321.2071428571428</v>
      </c>
      <c r="K699">
        <v>0.1774546665656451</v>
      </c>
    </row>
    <row r="700" spans="1:11" x14ac:dyDescent="0.3">
      <c r="A700" s="37">
        <v>1</v>
      </c>
      <c r="B700" t="s">
        <v>471</v>
      </c>
      <c r="C700" t="s">
        <v>500</v>
      </c>
      <c r="D700" t="s">
        <v>502</v>
      </c>
      <c r="E700">
        <v>72</v>
      </c>
      <c r="F700">
        <v>25.14</v>
      </c>
      <c r="G700">
        <v>27.722857142857141</v>
      </c>
      <c r="H700">
        <v>136.27000000000001</v>
      </c>
      <c r="I700">
        <v>0</v>
      </c>
      <c r="J700">
        <v>322.23571428571438</v>
      </c>
      <c r="K700">
        <v>0.17802291295728059</v>
      </c>
    </row>
    <row r="701" spans="1:11" x14ac:dyDescent="0.3">
      <c r="A701" s="37">
        <v>1</v>
      </c>
      <c r="B701" t="s">
        <v>472</v>
      </c>
      <c r="C701" t="s">
        <v>500</v>
      </c>
      <c r="D701" t="s">
        <v>502</v>
      </c>
      <c r="E701">
        <v>72</v>
      </c>
      <c r="F701">
        <v>25.14</v>
      </c>
      <c r="G701">
        <v>27.73714285714286</v>
      </c>
      <c r="H701">
        <v>136.27000000000001</v>
      </c>
      <c r="I701">
        <v>0</v>
      </c>
      <c r="J701">
        <v>323.26428571428562</v>
      </c>
      <c r="K701">
        <v>0.1785911593489159</v>
      </c>
    </row>
    <row r="702" spans="1:11" x14ac:dyDescent="0.3">
      <c r="A702" s="37">
        <v>1</v>
      </c>
      <c r="B702" t="s">
        <v>473</v>
      </c>
      <c r="C702" t="s">
        <v>500</v>
      </c>
      <c r="D702" t="s">
        <v>502</v>
      </c>
      <c r="E702">
        <v>72</v>
      </c>
      <c r="F702">
        <v>25.14</v>
      </c>
      <c r="G702">
        <v>27.751428571428569</v>
      </c>
      <c r="H702">
        <v>136.27000000000001</v>
      </c>
      <c r="I702">
        <v>0</v>
      </c>
      <c r="J702">
        <v>324.2928571428572</v>
      </c>
      <c r="K702">
        <v>0.17915940574055139</v>
      </c>
    </row>
    <row r="703" spans="1:11" x14ac:dyDescent="0.3">
      <c r="A703" s="37">
        <v>1</v>
      </c>
      <c r="B703" t="s">
        <v>474</v>
      </c>
      <c r="C703" t="s">
        <v>500</v>
      </c>
      <c r="D703" t="s">
        <v>502</v>
      </c>
      <c r="E703">
        <v>72</v>
      </c>
      <c r="F703">
        <v>25.14</v>
      </c>
      <c r="G703">
        <v>27.765714285714289</v>
      </c>
      <c r="H703">
        <v>136.27000000000001</v>
      </c>
      <c r="I703">
        <v>0</v>
      </c>
      <c r="J703">
        <v>325.3214285714285</v>
      </c>
      <c r="K703">
        <v>0.17972765213218669</v>
      </c>
    </row>
    <row r="704" spans="1:11" x14ac:dyDescent="0.3">
      <c r="A704" s="37">
        <v>1</v>
      </c>
      <c r="B704" t="s">
        <v>475</v>
      </c>
      <c r="C704" t="s">
        <v>500</v>
      </c>
      <c r="D704" t="s">
        <v>502</v>
      </c>
      <c r="E704">
        <v>72</v>
      </c>
      <c r="F704">
        <v>25.14</v>
      </c>
      <c r="G704">
        <v>27.78</v>
      </c>
      <c r="H704">
        <v>136.27000000000001</v>
      </c>
      <c r="I704">
        <v>0</v>
      </c>
      <c r="J704">
        <v>326.35000000000002</v>
      </c>
      <c r="K704">
        <v>0.18029589852382219</v>
      </c>
    </row>
    <row r="705" spans="1:11" x14ac:dyDescent="0.3">
      <c r="A705" s="37">
        <v>1</v>
      </c>
      <c r="B705" t="s">
        <v>476</v>
      </c>
      <c r="C705" t="s">
        <v>500</v>
      </c>
      <c r="D705" t="s">
        <v>502</v>
      </c>
      <c r="E705">
        <v>72</v>
      </c>
      <c r="F705">
        <v>25.14</v>
      </c>
      <c r="G705">
        <v>27.79428571428571</v>
      </c>
      <c r="H705">
        <v>136.27000000000001</v>
      </c>
      <c r="I705">
        <v>0</v>
      </c>
      <c r="J705">
        <v>327.37857142857138</v>
      </c>
      <c r="K705">
        <v>0.18086414491545749</v>
      </c>
    </row>
    <row r="706" spans="1:11" x14ac:dyDescent="0.3">
      <c r="A706" s="37">
        <v>1</v>
      </c>
      <c r="B706" t="s">
        <v>477</v>
      </c>
      <c r="C706" t="s">
        <v>500</v>
      </c>
      <c r="D706" t="s">
        <v>502</v>
      </c>
      <c r="E706">
        <v>72</v>
      </c>
      <c r="F706">
        <v>25.14</v>
      </c>
      <c r="G706">
        <v>27.80857142857143</v>
      </c>
      <c r="H706">
        <v>136.27000000000001</v>
      </c>
      <c r="I706">
        <v>0</v>
      </c>
      <c r="J706">
        <v>328.4071428571429</v>
      </c>
      <c r="K706">
        <v>0.18143239130709299</v>
      </c>
    </row>
    <row r="707" spans="1:11" x14ac:dyDescent="0.3">
      <c r="A707" s="37">
        <v>1</v>
      </c>
      <c r="B707" t="s">
        <v>478</v>
      </c>
      <c r="C707" t="s">
        <v>500</v>
      </c>
      <c r="D707" t="s">
        <v>502</v>
      </c>
      <c r="E707">
        <v>72</v>
      </c>
      <c r="F707">
        <v>25.14</v>
      </c>
      <c r="G707">
        <v>27.822857142857139</v>
      </c>
      <c r="H707">
        <v>136.27000000000001</v>
      </c>
      <c r="I707">
        <v>0</v>
      </c>
      <c r="J707">
        <v>329.4357142857142</v>
      </c>
      <c r="K707">
        <v>0.18200063769872829</v>
      </c>
    </row>
    <row r="708" spans="1:11" x14ac:dyDescent="0.3">
      <c r="A708" s="37">
        <v>1</v>
      </c>
      <c r="B708" t="s">
        <v>479</v>
      </c>
      <c r="C708" t="s">
        <v>500</v>
      </c>
      <c r="D708" t="s">
        <v>502</v>
      </c>
      <c r="E708">
        <v>72</v>
      </c>
      <c r="F708">
        <v>25.14</v>
      </c>
      <c r="G708">
        <v>27.837142857142862</v>
      </c>
      <c r="H708">
        <v>136.27000000000001</v>
      </c>
      <c r="I708">
        <v>0</v>
      </c>
      <c r="J708">
        <v>330.46428571428578</v>
      </c>
      <c r="K708">
        <v>0.18256888409036379</v>
      </c>
    </row>
    <row r="709" spans="1:11" x14ac:dyDescent="0.3">
      <c r="A709" s="37">
        <v>1</v>
      </c>
      <c r="B709" t="s">
        <v>480</v>
      </c>
      <c r="C709" t="s">
        <v>500</v>
      </c>
      <c r="D709" t="s">
        <v>502</v>
      </c>
      <c r="E709">
        <v>72</v>
      </c>
      <c r="F709">
        <v>25.14</v>
      </c>
      <c r="G709">
        <v>27.851428571428571</v>
      </c>
      <c r="H709">
        <v>136.27000000000001</v>
      </c>
      <c r="I709">
        <v>0</v>
      </c>
      <c r="J709">
        <v>331.49285714285702</v>
      </c>
      <c r="K709">
        <v>0.18313713048199909</v>
      </c>
    </row>
    <row r="710" spans="1:11" x14ac:dyDescent="0.3">
      <c r="A710" s="37">
        <v>1</v>
      </c>
      <c r="B710" t="s">
        <v>481</v>
      </c>
      <c r="C710" t="s">
        <v>500</v>
      </c>
      <c r="D710" t="s">
        <v>502</v>
      </c>
      <c r="E710">
        <v>72</v>
      </c>
      <c r="F710">
        <v>25.14</v>
      </c>
      <c r="G710">
        <v>27.86571428571429</v>
      </c>
      <c r="H710">
        <v>136.27000000000001</v>
      </c>
      <c r="I710">
        <v>0</v>
      </c>
      <c r="J710">
        <v>332.5214285714286</v>
      </c>
      <c r="K710">
        <v>0.18370537687363461</v>
      </c>
    </row>
    <row r="711" spans="1:11" x14ac:dyDescent="0.3">
      <c r="A711" s="37">
        <v>1</v>
      </c>
      <c r="B711" t="s">
        <v>482</v>
      </c>
      <c r="C711" t="s">
        <v>500</v>
      </c>
      <c r="D711" t="s">
        <v>502</v>
      </c>
      <c r="E711">
        <v>72</v>
      </c>
      <c r="F711">
        <v>25.14</v>
      </c>
      <c r="G711">
        <v>27.88</v>
      </c>
      <c r="H711">
        <v>136.27000000000001</v>
      </c>
      <c r="I711">
        <v>0</v>
      </c>
      <c r="J711">
        <v>333.5499999999999</v>
      </c>
      <c r="K711">
        <v>0.18427362326527</v>
      </c>
    </row>
    <row r="712" spans="1:11" x14ac:dyDescent="0.3">
      <c r="A712" s="37">
        <v>1</v>
      </c>
      <c r="B712" t="s">
        <v>483</v>
      </c>
      <c r="C712" t="s">
        <v>500</v>
      </c>
      <c r="D712" t="s">
        <v>502</v>
      </c>
      <c r="E712">
        <v>72</v>
      </c>
      <c r="F712">
        <v>25.14</v>
      </c>
      <c r="G712">
        <v>27.894285714285719</v>
      </c>
      <c r="H712">
        <v>136.27000000000001</v>
      </c>
      <c r="I712">
        <v>0</v>
      </c>
      <c r="J712">
        <v>334.57857142857142</v>
      </c>
      <c r="K712">
        <v>0.18484186965690549</v>
      </c>
    </row>
    <row r="713" spans="1:11" x14ac:dyDescent="0.3">
      <c r="A713" s="37">
        <v>1</v>
      </c>
      <c r="B713" t="s">
        <v>484</v>
      </c>
      <c r="C713" t="s">
        <v>500</v>
      </c>
      <c r="D713" t="s">
        <v>502</v>
      </c>
      <c r="E713">
        <v>72</v>
      </c>
      <c r="F713">
        <v>25.14</v>
      </c>
      <c r="G713">
        <v>27.908571428571431</v>
      </c>
      <c r="H713">
        <v>136.27000000000001</v>
      </c>
      <c r="I713">
        <v>0</v>
      </c>
      <c r="J713">
        <v>335.60714285714278</v>
      </c>
      <c r="K713">
        <v>0.1854101160485408</v>
      </c>
    </row>
    <row r="714" spans="1:11" x14ac:dyDescent="0.3">
      <c r="A714" s="37">
        <v>1</v>
      </c>
      <c r="B714" t="s">
        <v>485</v>
      </c>
      <c r="C714" t="s">
        <v>500</v>
      </c>
      <c r="D714" t="s">
        <v>502</v>
      </c>
      <c r="E714">
        <v>72</v>
      </c>
      <c r="F714">
        <v>25.14</v>
      </c>
      <c r="G714">
        <v>27.92285714285714</v>
      </c>
      <c r="H714">
        <v>136.27000000000001</v>
      </c>
      <c r="I714">
        <v>0</v>
      </c>
      <c r="J714">
        <v>336.6357142857143</v>
      </c>
      <c r="K714">
        <v>0.18597836244017629</v>
      </c>
    </row>
    <row r="715" spans="1:11" x14ac:dyDescent="0.3">
      <c r="A715" s="37">
        <v>1</v>
      </c>
      <c r="B715" t="s">
        <v>486</v>
      </c>
      <c r="C715" t="s">
        <v>500</v>
      </c>
      <c r="D715" t="s">
        <v>502</v>
      </c>
      <c r="E715">
        <v>72</v>
      </c>
      <c r="F715">
        <v>25.14</v>
      </c>
      <c r="G715">
        <v>27.937142857142859</v>
      </c>
      <c r="H715">
        <v>136.27000000000001</v>
      </c>
      <c r="I715">
        <v>0</v>
      </c>
      <c r="J715">
        <v>337.6642857142856</v>
      </c>
      <c r="K715">
        <v>0.18654660883181159</v>
      </c>
    </row>
    <row r="716" spans="1:11" x14ac:dyDescent="0.3">
      <c r="A716" s="37">
        <v>1</v>
      </c>
      <c r="B716" t="s">
        <v>487</v>
      </c>
      <c r="C716" t="s">
        <v>500</v>
      </c>
      <c r="D716" t="s">
        <v>502</v>
      </c>
      <c r="E716">
        <v>72</v>
      </c>
      <c r="F716">
        <v>25.14</v>
      </c>
      <c r="G716">
        <v>27.951428571428568</v>
      </c>
      <c r="H716">
        <v>136.27000000000001</v>
      </c>
      <c r="I716">
        <v>0</v>
      </c>
      <c r="J716">
        <v>338.69285714285718</v>
      </c>
      <c r="K716">
        <v>0.18711485522344709</v>
      </c>
    </row>
    <row r="717" spans="1:11" x14ac:dyDescent="0.3">
      <c r="A717" s="37">
        <v>1</v>
      </c>
      <c r="B717" t="s">
        <v>488</v>
      </c>
      <c r="C717" t="s">
        <v>500</v>
      </c>
      <c r="D717" t="s">
        <v>502</v>
      </c>
      <c r="E717">
        <v>72</v>
      </c>
      <c r="F717">
        <v>25.14</v>
      </c>
      <c r="G717">
        <v>27.965714285714281</v>
      </c>
      <c r="H717">
        <v>136.27000000000001</v>
      </c>
      <c r="I717">
        <v>0</v>
      </c>
      <c r="J717">
        <v>339.72142857142842</v>
      </c>
      <c r="K717">
        <v>0.18768310161508239</v>
      </c>
    </row>
    <row r="718" spans="1:11" x14ac:dyDescent="0.3">
      <c r="A718" s="37">
        <v>1</v>
      </c>
      <c r="B718" t="s">
        <v>489</v>
      </c>
      <c r="C718" t="s">
        <v>500</v>
      </c>
      <c r="D718" t="s">
        <v>502</v>
      </c>
      <c r="E718">
        <v>72</v>
      </c>
      <c r="F718">
        <v>25.14</v>
      </c>
      <c r="G718">
        <v>27.98</v>
      </c>
      <c r="H718">
        <v>136.27000000000001</v>
      </c>
      <c r="I718">
        <v>0</v>
      </c>
      <c r="J718">
        <v>340.75</v>
      </c>
      <c r="K718">
        <v>0.18825134800671789</v>
      </c>
    </row>
    <row r="719" spans="1:11" x14ac:dyDescent="0.3">
      <c r="A719" s="37">
        <v>1</v>
      </c>
      <c r="B719" t="s">
        <v>490</v>
      </c>
      <c r="C719" t="s">
        <v>500</v>
      </c>
      <c r="D719" t="s">
        <v>502</v>
      </c>
      <c r="E719">
        <v>72</v>
      </c>
      <c r="F719">
        <v>25.14</v>
      </c>
      <c r="G719">
        <v>27.98</v>
      </c>
      <c r="H719">
        <v>136.27000000000001</v>
      </c>
      <c r="I719">
        <v>0</v>
      </c>
      <c r="J719">
        <v>340.75</v>
      </c>
      <c r="K719">
        <v>0.18825134800671789</v>
      </c>
    </row>
    <row r="720" spans="1:11" x14ac:dyDescent="0.3">
      <c r="A720" s="37">
        <v>1</v>
      </c>
      <c r="B720" t="s">
        <v>491</v>
      </c>
      <c r="C720" t="s">
        <v>500</v>
      </c>
      <c r="D720" t="s">
        <v>502</v>
      </c>
      <c r="E720">
        <v>72</v>
      </c>
      <c r="F720">
        <v>25.14</v>
      </c>
      <c r="G720">
        <v>27.98</v>
      </c>
      <c r="H720">
        <v>136.27000000000001</v>
      </c>
      <c r="I720">
        <v>0</v>
      </c>
      <c r="J720">
        <v>340.75</v>
      </c>
      <c r="K720">
        <v>0.18825134800671789</v>
      </c>
    </row>
    <row r="721" spans="1:11" x14ac:dyDescent="0.3">
      <c r="A721" s="37">
        <v>1</v>
      </c>
      <c r="B721" t="s">
        <v>492</v>
      </c>
      <c r="C721" t="s">
        <v>500</v>
      </c>
      <c r="D721" t="s">
        <v>502</v>
      </c>
      <c r="E721">
        <v>72</v>
      </c>
      <c r="F721">
        <v>25.14</v>
      </c>
      <c r="G721">
        <v>27.98</v>
      </c>
      <c r="H721">
        <v>136.27000000000001</v>
      </c>
      <c r="I721">
        <v>0</v>
      </c>
      <c r="J721">
        <v>340.75</v>
      </c>
      <c r="K721">
        <v>0.18825134800671789</v>
      </c>
    </row>
    <row r="722" spans="1:11" x14ac:dyDescent="0.3">
      <c r="A722" s="37">
        <v>1</v>
      </c>
      <c r="B722" t="s">
        <v>408</v>
      </c>
      <c r="C722" s="68" t="s">
        <v>504</v>
      </c>
      <c r="D722" s="68" t="s">
        <v>503</v>
      </c>
      <c r="E722">
        <v>4</v>
      </c>
      <c r="F722">
        <v>141.04</v>
      </c>
      <c r="G722">
        <v>132.38</v>
      </c>
      <c r="H722">
        <v>0</v>
      </c>
      <c r="I722">
        <v>0</v>
      </c>
      <c r="J722">
        <v>-34.639999999999993</v>
      </c>
      <c r="K722">
        <v>-6.1401020986954033E-2</v>
      </c>
    </row>
    <row r="723" spans="1:11" x14ac:dyDescent="0.3">
      <c r="A723" s="37">
        <v>1</v>
      </c>
      <c r="B723" t="s">
        <v>409</v>
      </c>
      <c r="C723" s="68" t="s">
        <v>504</v>
      </c>
      <c r="D723" s="68" t="s">
        <v>503</v>
      </c>
      <c r="E723">
        <v>4</v>
      </c>
      <c r="F723">
        <v>141.04</v>
      </c>
      <c r="G723">
        <v>132.38</v>
      </c>
      <c r="H723">
        <v>0</v>
      </c>
      <c r="I723">
        <v>0</v>
      </c>
      <c r="J723">
        <v>-34.639999999999993</v>
      </c>
      <c r="K723">
        <v>-6.1401020986954033E-2</v>
      </c>
    </row>
    <row r="724" spans="1:11" x14ac:dyDescent="0.3">
      <c r="A724" s="37">
        <v>1</v>
      </c>
      <c r="B724" t="s">
        <v>410</v>
      </c>
      <c r="C724" s="68" t="s">
        <v>504</v>
      </c>
      <c r="D724" s="68" t="s">
        <v>503</v>
      </c>
      <c r="E724">
        <v>4</v>
      </c>
      <c r="F724">
        <v>141.04</v>
      </c>
      <c r="G724">
        <v>132.38</v>
      </c>
      <c r="H724">
        <v>0</v>
      </c>
      <c r="I724">
        <v>0</v>
      </c>
      <c r="J724">
        <v>-34.639999999999993</v>
      </c>
      <c r="K724">
        <v>-6.1401020986954033E-2</v>
      </c>
    </row>
    <row r="725" spans="1:11" x14ac:dyDescent="0.3">
      <c r="A725" s="37">
        <v>1</v>
      </c>
      <c r="B725" t="s">
        <v>411</v>
      </c>
      <c r="C725" s="68" t="s">
        <v>504</v>
      </c>
      <c r="D725" s="68" t="s">
        <v>503</v>
      </c>
      <c r="E725">
        <v>4</v>
      </c>
      <c r="F725">
        <v>141.04</v>
      </c>
      <c r="G725">
        <v>132.38</v>
      </c>
      <c r="H725">
        <v>0</v>
      </c>
      <c r="I725">
        <v>0</v>
      </c>
      <c r="J725">
        <v>-34.639999999999993</v>
      </c>
      <c r="K725">
        <v>-6.1401020986954033E-2</v>
      </c>
    </row>
    <row r="726" spans="1:11" x14ac:dyDescent="0.3">
      <c r="A726" s="37">
        <v>1</v>
      </c>
      <c r="B726" t="s">
        <v>412</v>
      </c>
      <c r="C726" s="68" t="s">
        <v>504</v>
      </c>
      <c r="D726" s="68" t="s">
        <v>503</v>
      </c>
      <c r="E726">
        <v>4</v>
      </c>
      <c r="F726">
        <v>141.04</v>
      </c>
      <c r="G726">
        <v>132.38</v>
      </c>
      <c r="H726">
        <v>0</v>
      </c>
      <c r="I726">
        <v>0</v>
      </c>
      <c r="J726">
        <v>-34.639999999999993</v>
      </c>
      <c r="K726">
        <v>-6.1401020986954033E-2</v>
      </c>
    </row>
    <row r="727" spans="1:11" x14ac:dyDescent="0.3">
      <c r="A727" s="37">
        <v>1</v>
      </c>
      <c r="B727" t="s">
        <v>413</v>
      </c>
      <c r="C727" s="68" t="s">
        <v>504</v>
      </c>
      <c r="D727" s="68" t="s">
        <v>503</v>
      </c>
      <c r="E727">
        <v>4</v>
      </c>
      <c r="F727">
        <v>141.04</v>
      </c>
      <c r="G727">
        <v>132.38</v>
      </c>
      <c r="H727">
        <v>0</v>
      </c>
      <c r="I727">
        <v>0</v>
      </c>
      <c r="J727">
        <v>-34.639999999999993</v>
      </c>
      <c r="K727">
        <v>-6.1401020986954033E-2</v>
      </c>
    </row>
    <row r="728" spans="1:11" x14ac:dyDescent="0.3">
      <c r="A728" s="37">
        <v>1</v>
      </c>
      <c r="B728" t="s">
        <v>414</v>
      </c>
      <c r="C728" s="68" t="s">
        <v>504</v>
      </c>
      <c r="D728" s="68" t="s">
        <v>503</v>
      </c>
      <c r="E728">
        <v>4</v>
      </c>
      <c r="F728">
        <v>141.04</v>
      </c>
      <c r="G728">
        <v>132.38</v>
      </c>
      <c r="H728">
        <v>0</v>
      </c>
      <c r="I728">
        <v>0</v>
      </c>
      <c r="J728">
        <v>-34.639999999999993</v>
      </c>
      <c r="K728">
        <v>-6.1401020986954033E-2</v>
      </c>
    </row>
    <row r="729" spans="1:11" x14ac:dyDescent="0.3">
      <c r="A729" s="37">
        <v>1</v>
      </c>
      <c r="B729" t="s">
        <v>415</v>
      </c>
      <c r="C729" s="68" t="s">
        <v>504</v>
      </c>
      <c r="D729" s="68" t="s">
        <v>503</v>
      </c>
      <c r="E729">
        <v>4</v>
      </c>
      <c r="F729">
        <v>141.04</v>
      </c>
      <c r="G729">
        <v>132.38</v>
      </c>
      <c r="H729">
        <v>0</v>
      </c>
      <c r="I729">
        <v>0</v>
      </c>
      <c r="J729">
        <v>-34.639999999999993</v>
      </c>
      <c r="K729">
        <v>-6.1401020986954033E-2</v>
      </c>
    </row>
    <row r="730" spans="1:11" x14ac:dyDescent="0.3">
      <c r="A730" s="37">
        <v>1</v>
      </c>
      <c r="B730" t="s">
        <v>416</v>
      </c>
      <c r="C730" s="68" t="s">
        <v>504</v>
      </c>
      <c r="D730" s="68" t="s">
        <v>503</v>
      </c>
      <c r="E730">
        <v>4</v>
      </c>
      <c r="F730">
        <v>141.04</v>
      </c>
      <c r="G730">
        <v>132.38</v>
      </c>
      <c r="H730">
        <v>0</v>
      </c>
      <c r="I730">
        <v>0</v>
      </c>
      <c r="J730">
        <v>-34.639999999999993</v>
      </c>
      <c r="K730">
        <v>-6.1401020986954033E-2</v>
      </c>
    </row>
    <row r="731" spans="1:11" x14ac:dyDescent="0.3">
      <c r="A731" s="37">
        <v>1</v>
      </c>
      <c r="B731" t="s">
        <v>417</v>
      </c>
      <c r="C731" s="68" t="s">
        <v>504</v>
      </c>
      <c r="D731" s="68" t="s">
        <v>503</v>
      </c>
      <c r="E731">
        <v>4</v>
      </c>
      <c r="F731">
        <v>141.04</v>
      </c>
      <c r="G731">
        <v>132.38</v>
      </c>
      <c r="H731">
        <v>0</v>
      </c>
      <c r="I731">
        <v>0</v>
      </c>
      <c r="J731">
        <v>-34.639999999999993</v>
      </c>
      <c r="K731">
        <v>-6.1401020986954033E-2</v>
      </c>
    </row>
    <row r="732" spans="1:11" x14ac:dyDescent="0.3">
      <c r="A732" s="37">
        <v>1</v>
      </c>
      <c r="B732" t="s">
        <v>418</v>
      </c>
      <c r="C732" s="68" t="s">
        <v>504</v>
      </c>
      <c r="D732" s="68" t="s">
        <v>503</v>
      </c>
      <c r="E732">
        <v>4</v>
      </c>
      <c r="F732">
        <v>141.04</v>
      </c>
      <c r="G732">
        <v>132.38</v>
      </c>
      <c r="H732">
        <v>0</v>
      </c>
      <c r="I732">
        <v>0</v>
      </c>
      <c r="J732">
        <v>-34.639999999999993</v>
      </c>
      <c r="K732">
        <v>-6.1401020986954033E-2</v>
      </c>
    </row>
    <row r="733" spans="1:11" x14ac:dyDescent="0.3">
      <c r="A733" s="37">
        <v>1</v>
      </c>
      <c r="B733" t="s">
        <v>419</v>
      </c>
      <c r="C733" s="68" t="s">
        <v>504</v>
      </c>
      <c r="D733" s="68" t="s">
        <v>503</v>
      </c>
      <c r="E733">
        <v>4</v>
      </c>
      <c r="F733">
        <v>141.04</v>
      </c>
      <c r="G733">
        <v>132.38</v>
      </c>
      <c r="H733">
        <v>0</v>
      </c>
      <c r="I733">
        <v>0</v>
      </c>
      <c r="J733">
        <v>-34.639999999999993</v>
      </c>
      <c r="K733">
        <v>-6.1401020986954033E-2</v>
      </c>
    </row>
    <row r="734" spans="1:11" x14ac:dyDescent="0.3">
      <c r="A734" s="37">
        <v>1</v>
      </c>
      <c r="B734" t="s">
        <v>420</v>
      </c>
      <c r="C734" s="68" t="s">
        <v>504</v>
      </c>
      <c r="D734" s="68" t="s">
        <v>503</v>
      </c>
      <c r="E734">
        <v>4</v>
      </c>
      <c r="F734">
        <v>141.04</v>
      </c>
      <c r="G734">
        <v>132.38</v>
      </c>
      <c r="H734">
        <v>0</v>
      </c>
      <c r="I734">
        <v>0</v>
      </c>
      <c r="J734">
        <v>-34.639999999999993</v>
      </c>
      <c r="K734">
        <v>-6.1401020986954033E-2</v>
      </c>
    </row>
    <row r="735" spans="1:11" x14ac:dyDescent="0.3">
      <c r="A735" s="37">
        <v>1</v>
      </c>
      <c r="B735" t="s">
        <v>421</v>
      </c>
      <c r="C735" s="68" t="s">
        <v>504</v>
      </c>
      <c r="D735" s="68" t="s">
        <v>503</v>
      </c>
      <c r="E735">
        <v>4</v>
      </c>
      <c r="F735">
        <v>141.04</v>
      </c>
      <c r="G735">
        <v>132.38</v>
      </c>
      <c r="H735">
        <v>0</v>
      </c>
      <c r="I735">
        <v>0</v>
      </c>
      <c r="J735">
        <v>-34.639999999999993</v>
      </c>
      <c r="K735">
        <v>-6.1401020986954033E-2</v>
      </c>
    </row>
    <row r="736" spans="1:11" x14ac:dyDescent="0.3">
      <c r="A736" s="37">
        <v>1</v>
      </c>
      <c r="B736" t="s">
        <v>422</v>
      </c>
      <c r="C736" s="68" t="s">
        <v>504</v>
      </c>
      <c r="D736" s="68" t="s">
        <v>503</v>
      </c>
      <c r="E736">
        <v>4</v>
      </c>
      <c r="F736">
        <v>141.04</v>
      </c>
      <c r="G736">
        <v>132.38</v>
      </c>
      <c r="H736">
        <v>0</v>
      </c>
      <c r="I736">
        <v>0</v>
      </c>
      <c r="J736">
        <v>-34.639999999999993</v>
      </c>
      <c r="K736">
        <v>-6.1401020986954033E-2</v>
      </c>
    </row>
    <row r="737" spans="1:11" x14ac:dyDescent="0.3">
      <c r="A737" s="37">
        <v>1</v>
      </c>
      <c r="B737" t="s">
        <v>423</v>
      </c>
      <c r="C737" s="68" t="s">
        <v>504</v>
      </c>
      <c r="D737" s="68" t="s">
        <v>503</v>
      </c>
      <c r="E737">
        <v>4</v>
      </c>
      <c r="F737">
        <v>141.04</v>
      </c>
      <c r="G737">
        <v>132.38</v>
      </c>
      <c r="H737">
        <v>0</v>
      </c>
      <c r="I737">
        <v>0</v>
      </c>
      <c r="J737">
        <v>-34.639999999999993</v>
      </c>
      <c r="K737">
        <v>-6.1401020986954033E-2</v>
      </c>
    </row>
    <row r="738" spans="1:11" x14ac:dyDescent="0.3">
      <c r="A738" s="37">
        <v>1</v>
      </c>
      <c r="B738" t="s">
        <v>424</v>
      </c>
      <c r="C738" s="68" t="s">
        <v>504</v>
      </c>
      <c r="D738" s="68" t="s">
        <v>503</v>
      </c>
      <c r="E738">
        <v>4</v>
      </c>
      <c r="F738">
        <v>141.04</v>
      </c>
      <c r="G738">
        <v>132.38</v>
      </c>
      <c r="H738">
        <v>0</v>
      </c>
      <c r="I738">
        <v>0</v>
      </c>
      <c r="J738">
        <v>-34.639999999999993</v>
      </c>
      <c r="K738">
        <v>-6.1401020986954033E-2</v>
      </c>
    </row>
    <row r="739" spans="1:11" x14ac:dyDescent="0.3">
      <c r="A739" s="37">
        <v>1</v>
      </c>
      <c r="B739" t="s">
        <v>425</v>
      </c>
      <c r="C739" s="68" t="s">
        <v>504</v>
      </c>
      <c r="D739" s="68" t="s">
        <v>503</v>
      </c>
      <c r="E739">
        <v>4</v>
      </c>
      <c r="F739">
        <v>141.04</v>
      </c>
      <c r="G739">
        <v>132.38</v>
      </c>
      <c r="H739">
        <v>0</v>
      </c>
      <c r="I739">
        <v>0</v>
      </c>
      <c r="J739">
        <v>-34.639999999999993</v>
      </c>
      <c r="K739">
        <v>-6.1401020986954033E-2</v>
      </c>
    </row>
    <row r="740" spans="1:11" x14ac:dyDescent="0.3">
      <c r="A740" s="37">
        <v>1</v>
      </c>
      <c r="B740" t="s">
        <v>426</v>
      </c>
      <c r="C740" s="68" t="s">
        <v>504</v>
      </c>
      <c r="D740" s="68" t="s">
        <v>503</v>
      </c>
      <c r="E740">
        <v>4</v>
      </c>
      <c r="F740">
        <v>141.04</v>
      </c>
      <c r="G740">
        <v>132.38</v>
      </c>
      <c r="H740">
        <v>0</v>
      </c>
      <c r="I740">
        <v>0</v>
      </c>
      <c r="J740">
        <v>-34.639999999999993</v>
      </c>
      <c r="K740">
        <v>-6.1401020986954033E-2</v>
      </c>
    </row>
    <row r="741" spans="1:11" x14ac:dyDescent="0.3">
      <c r="A741" s="37">
        <v>1</v>
      </c>
      <c r="B741" t="s">
        <v>427</v>
      </c>
      <c r="C741" s="68" t="s">
        <v>504</v>
      </c>
      <c r="D741" s="68" t="s">
        <v>503</v>
      </c>
      <c r="E741">
        <v>4</v>
      </c>
      <c r="F741">
        <v>141.04</v>
      </c>
      <c r="G741">
        <v>132.38</v>
      </c>
      <c r="H741">
        <v>0</v>
      </c>
      <c r="I741">
        <v>0</v>
      </c>
      <c r="J741">
        <v>-34.639999999999993</v>
      </c>
      <c r="K741">
        <v>-6.1401020986954033E-2</v>
      </c>
    </row>
    <row r="742" spans="1:11" x14ac:dyDescent="0.3">
      <c r="A742" s="37">
        <v>1</v>
      </c>
      <c r="B742" t="s">
        <v>428</v>
      </c>
      <c r="C742" s="68" t="s">
        <v>504</v>
      </c>
      <c r="D742" s="68" t="s">
        <v>503</v>
      </c>
      <c r="E742">
        <v>4</v>
      </c>
      <c r="F742">
        <v>141.04</v>
      </c>
      <c r="G742">
        <v>132.38</v>
      </c>
      <c r="H742">
        <v>0</v>
      </c>
      <c r="I742">
        <v>0</v>
      </c>
      <c r="J742">
        <v>-34.639999999999993</v>
      </c>
      <c r="K742">
        <v>-6.1401020986954033E-2</v>
      </c>
    </row>
    <row r="743" spans="1:11" x14ac:dyDescent="0.3">
      <c r="A743" s="37">
        <v>1</v>
      </c>
      <c r="B743" t="s">
        <v>429</v>
      </c>
      <c r="C743" s="68" t="s">
        <v>504</v>
      </c>
      <c r="D743" s="68" t="s">
        <v>503</v>
      </c>
      <c r="E743">
        <v>4</v>
      </c>
      <c r="F743">
        <v>141.04</v>
      </c>
      <c r="G743">
        <v>132.38</v>
      </c>
      <c r="H743">
        <v>0</v>
      </c>
      <c r="I743">
        <v>0</v>
      </c>
      <c r="J743">
        <v>-34.639999999999993</v>
      </c>
      <c r="K743">
        <v>-6.1401020986954033E-2</v>
      </c>
    </row>
    <row r="744" spans="1:11" x14ac:dyDescent="0.3">
      <c r="A744" s="37">
        <v>1</v>
      </c>
      <c r="B744" t="s">
        <v>430</v>
      </c>
      <c r="C744" s="68" t="s">
        <v>504</v>
      </c>
      <c r="D744" s="68" t="s">
        <v>503</v>
      </c>
      <c r="E744">
        <v>4</v>
      </c>
      <c r="F744">
        <v>141.04</v>
      </c>
      <c r="G744">
        <v>132.38</v>
      </c>
      <c r="H744">
        <v>0</v>
      </c>
      <c r="I744">
        <v>0</v>
      </c>
      <c r="J744">
        <v>-34.639999999999993</v>
      </c>
      <c r="K744">
        <v>-6.1401020986954033E-2</v>
      </c>
    </row>
    <row r="745" spans="1:11" x14ac:dyDescent="0.3">
      <c r="A745" s="37">
        <v>1</v>
      </c>
      <c r="B745" t="s">
        <v>431</v>
      </c>
      <c r="C745" s="68" t="s">
        <v>504</v>
      </c>
      <c r="D745" s="68" t="s">
        <v>503</v>
      </c>
      <c r="E745">
        <v>4</v>
      </c>
      <c r="F745">
        <v>141.04</v>
      </c>
      <c r="G745">
        <v>132.38</v>
      </c>
      <c r="H745">
        <v>0</v>
      </c>
      <c r="I745">
        <v>0</v>
      </c>
      <c r="J745">
        <v>-34.639999999999993</v>
      </c>
      <c r="K745">
        <v>-6.1401020986954033E-2</v>
      </c>
    </row>
    <row r="746" spans="1:11" x14ac:dyDescent="0.3">
      <c r="A746" s="37">
        <v>1</v>
      </c>
      <c r="B746" t="s">
        <v>432</v>
      </c>
      <c r="C746" s="68" t="s">
        <v>504</v>
      </c>
      <c r="D746" s="68" t="s">
        <v>503</v>
      </c>
      <c r="E746">
        <v>4</v>
      </c>
      <c r="F746">
        <v>141.04</v>
      </c>
      <c r="G746">
        <v>132.38</v>
      </c>
      <c r="H746">
        <v>0</v>
      </c>
      <c r="I746">
        <v>0</v>
      </c>
      <c r="J746">
        <v>-34.639999999999993</v>
      </c>
      <c r="K746">
        <v>-6.1401020986954033E-2</v>
      </c>
    </row>
    <row r="747" spans="1:11" x14ac:dyDescent="0.3">
      <c r="A747" s="37">
        <v>1</v>
      </c>
      <c r="B747" t="s">
        <v>433</v>
      </c>
      <c r="C747" s="68" t="s">
        <v>504</v>
      </c>
      <c r="D747" s="68" t="s">
        <v>503</v>
      </c>
      <c r="E747">
        <v>4</v>
      </c>
      <c r="F747">
        <v>141.04</v>
      </c>
      <c r="G747">
        <v>132.38</v>
      </c>
      <c r="H747">
        <v>0</v>
      </c>
      <c r="I747">
        <v>0</v>
      </c>
      <c r="J747">
        <v>-34.639999999999993</v>
      </c>
      <c r="K747">
        <v>-6.1401020986954033E-2</v>
      </c>
    </row>
    <row r="748" spans="1:11" x14ac:dyDescent="0.3">
      <c r="A748" s="37">
        <v>1</v>
      </c>
      <c r="B748" t="s">
        <v>434</v>
      </c>
      <c r="C748" s="68" t="s">
        <v>504</v>
      </c>
      <c r="D748" s="68" t="s">
        <v>503</v>
      </c>
      <c r="E748">
        <v>4</v>
      </c>
      <c r="F748">
        <v>141.04</v>
      </c>
      <c r="G748">
        <v>132.38</v>
      </c>
      <c r="H748">
        <v>0</v>
      </c>
      <c r="I748">
        <v>0</v>
      </c>
      <c r="J748">
        <v>-34.639999999999993</v>
      </c>
      <c r="K748">
        <v>-6.1401020986954033E-2</v>
      </c>
    </row>
    <row r="749" spans="1:11" x14ac:dyDescent="0.3">
      <c r="A749" s="37">
        <v>1</v>
      </c>
      <c r="B749" t="s">
        <v>435</v>
      </c>
      <c r="C749" s="68" t="s">
        <v>504</v>
      </c>
      <c r="D749" s="68" t="s">
        <v>503</v>
      </c>
      <c r="E749">
        <v>4</v>
      </c>
      <c r="F749">
        <v>141.04</v>
      </c>
      <c r="G749">
        <v>132.38</v>
      </c>
      <c r="H749">
        <v>0</v>
      </c>
      <c r="I749">
        <v>0</v>
      </c>
      <c r="J749">
        <v>-34.639999999999993</v>
      </c>
      <c r="K749">
        <v>-6.1401020986954033E-2</v>
      </c>
    </row>
    <row r="750" spans="1:11" x14ac:dyDescent="0.3">
      <c r="A750" s="37">
        <v>1</v>
      </c>
      <c r="B750" t="s">
        <v>436</v>
      </c>
      <c r="C750" s="68" t="s">
        <v>504</v>
      </c>
      <c r="D750" s="68" t="s">
        <v>503</v>
      </c>
      <c r="E750">
        <v>4</v>
      </c>
      <c r="F750">
        <v>141.04</v>
      </c>
      <c r="G750">
        <v>132.38</v>
      </c>
      <c r="H750">
        <v>0</v>
      </c>
      <c r="I750">
        <v>0</v>
      </c>
      <c r="J750">
        <v>-34.639999999999993</v>
      </c>
      <c r="K750">
        <v>-6.1401020986954033E-2</v>
      </c>
    </row>
    <row r="751" spans="1:11" x14ac:dyDescent="0.3">
      <c r="A751" s="37">
        <v>1</v>
      </c>
      <c r="B751" t="s">
        <v>437</v>
      </c>
      <c r="C751" s="68" t="s">
        <v>504</v>
      </c>
      <c r="D751" s="68" t="s">
        <v>503</v>
      </c>
      <c r="E751">
        <v>4</v>
      </c>
      <c r="F751">
        <v>141.04</v>
      </c>
      <c r="G751">
        <v>132.38312500000001</v>
      </c>
      <c r="H751">
        <v>0</v>
      </c>
      <c r="I751">
        <v>0</v>
      </c>
      <c r="J751">
        <v>-34.627499999999941</v>
      </c>
      <c r="K751">
        <v>-6.1378864152013511E-2</v>
      </c>
    </row>
    <row r="752" spans="1:11" x14ac:dyDescent="0.3">
      <c r="A752" s="37">
        <v>1</v>
      </c>
      <c r="B752" t="s">
        <v>438</v>
      </c>
      <c r="C752" s="68" t="s">
        <v>504</v>
      </c>
      <c r="D752" s="68" t="s">
        <v>503</v>
      </c>
      <c r="E752">
        <v>4</v>
      </c>
      <c r="F752">
        <v>141.04</v>
      </c>
      <c r="G752">
        <v>132.38624999999999</v>
      </c>
      <c r="H752">
        <v>6.35</v>
      </c>
      <c r="I752">
        <v>0</v>
      </c>
      <c r="J752">
        <v>-28.265000000000011</v>
      </c>
      <c r="K752">
        <v>-5.0101035167328431E-2</v>
      </c>
    </row>
    <row r="753" spans="1:11" x14ac:dyDescent="0.3">
      <c r="A753" s="37">
        <v>1</v>
      </c>
      <c r="B753" t="s">
        <v>439</v>
      </c>
      <c r="C753" s="68" t="s">
        <v>504</v>
      </c>
      <c r="D753" s="68" t="s">
        <v>503</v>
      </c>
      <c r="E753">
        <v>4</v>
      </c>
      <c r="F753">
        <v>141.04</v>
      </c>
      <c r="G753">
        <v>132.389375</v>
      </c>
      <c r="H753">
        <v>6.35</v>
      </c>
      <c r="I753">
        <v>0</v>
      </c>
      <c r="J753">
        <v>-28.252499999999959</v>
      </c>
      <c r="K753">
        <v>-5.0078878332387909E-2</v>
      </c>
    </row>
    <row r="754" spans="1:11" x14ac:dyDescent="0.3">
      <c r="A754" s="37">
        <v>1</v>
      </c>
      <c r="B754" t="s">
        <v>440</v>
      </c>
      <c r="C754" s="68" t="s">
        <v>504</v>
      </c>
      <c r="D754" s="68" t="s">
        <v>503</v>
      </c>
      <c r="E754">
        <v>4</v>
      </c>
      <c r="F754">
        <v>141.04</v>
      </c>
      <c r="G754">
        <v>132.39250000000001</v>
      </c>
      <c r="H754">
        <v>6.35</v>
      </c>
      <c r="I754">
        <v>0</v>
      </c>
      <c r="J754">
        <v>-28.24000000000003</v>
      </c>
      <c r="K754">
        <v>-5.0056721497447589E-2</v>
      </c>
    </row>
    <row r="755" spans="1:11" x14ac:dyDescent="0.3">
      <c r="A755" s="37">
        <v>1</v>
      </c>
      <c r="B755" t="s">
        <v>441</v>
      </c>
      <c r="C755" s="68" t="s">
        <v>504</v>
      </c>
      <c r="D755" s="68" t="s">
        <v>503</v>
      </c>
      <c r="E755">
        <v>4</v>
      </c>
      <c r="F755">
        <v>141.04</v>
      </c>
      <c r="G755">
        <v>132.395625</v>
      </c>
      <c r="H755">
        <v>6.35</v>
      </c>
      <c r="I755">
        <v>0</v>
      </c>
      <c r="J755">
        <v>-28.227499999999981</v>
      </c>
      <c r="K755">
        <v>-5.0034564662507067E-2</v>
      </c>
    </row>
    <row r="756" spans="1:11" x14ac:dyDescent="0.3">
      <c r="A756" s="37">
        <v>1</v>
      </c>
      <c r="B756" t="s">
        <v>442</v>
      </c>
      <c r="C756" s="68" t="s">
        <v>504</v>
      </c>
      <c r="D756" s="68" t="s">
        <v>503</v>
      </c>
      <c r="E756">
        <v>4</v>
      </c>
      <c r="F756">
        <v>141.04</v>
      </c>
      <c r="G756">
        <v>132.39875000000001</v>
      </c>
      <c r="H756">
        <v>6.35</v>
      </c>
      <c r="I756">
        <v>0</v>
      </c>
      <c r="J756">
        <v>-28.214999999999939</v>
      </c>
      <c r="K756">
        <v>-5.0012407827566538E-2</v>
      </c>
    </row>
    <row r="757" spans="1:11" x14ac:dyDescent="0.3">
      <c r="A757" s="37">
        <v>1</v>
      </c>
      <c r="B757" t="s">
        <v>443</v>
      </c>
      <c r="C757" s="68" t="s">
        <v>504</v>
      </c>
      <c r="D757" s="68" t="s">
        <v>503</v>
      </c>
      <c r="E757">
        <v>4</v>
      </c>
      <c r="F757">
        <v>141.04</v>
      </c>
      <c r="G757">
        <v>132.40187499999999</v>
      </c>
      <c r="H757">
        <v>6.35</v>
      </c>
      <c r="I757">
        <v>0</v>
      </c>
      <c r="J757">
        <v>-28.202500000000011</v>
      </c>
      <c r="K757">
        <v>-4.9990250992626217E-2</v>
      </c>
    </row>
    <row r="758" spans="1:11" x14ac:dyDescent="0.3">
      <c r="A758" s="37">
        <v>1</v>
      </c>
      <c r="B758" t="s">
        <v>444</v>
      </c>
      <c r="C758" s="68" t="s">
        <v>504</v>
      </c>
      <c r="D758" s="68" t="s">
        <v>503</v>
      </c>
      <c r="E758">
        <v>4</v>
      </c>
      <c r="F758">
        <v>141.04</v>
      </c>
      <c r="G758">
        <v>132.405</v>
      </c>
      <c r="H758">
        <v>6.35</v>
      </c>
      <c r="I758">
        <v>0</v>
      </c>
      <c r="J758">
        <v>-28.189999999999959</v>
      </c>
      <c r="K758">
        <v>-4.9968094157685702E-2</v>
      </c>
    </row>
    <row r="759" spans="1:11" x14ac:dyDescent="0.3">
      <c r="A759" s="37">
        <v>1</v>
      </c>
      <c r="B759" t="s">
        <v>445</v>
      </c>
      <c r="C759" s="68" t="s">
        <v>504</v>
      </c>
      <c r="D759" s="68" t="s">
        <v>503</v>
      </c>
      <c r="E759">
        <v>4</v>
      </c>
      <c r="F759">
        <v>141.04</v>
      </c>
      <c r="G759">
        <v>132.40812500000001</v>
      </c>
      <c r="H759">
        <v>6.35</v>
      </c>
      <c r="I759">
        <v>0</v>
      </c>
      <c r="J759">
        <v>-28.17750000000003</v>
      </c>
      <c r="K759">
        <v>-4.9945937322745368E-2</v>
      </c>
    </row>
    <row r="760" spans="1:11" x14ac:dyDescent="0.3">
      <c r="A760" s="37">
        <v>1</v>
      </c>
      <c r="B760" t="s">
        <v>446</v>
      </c>
      <c r="C760" s="68" t="s">
        <v>504</v>
      </c>
      <c r="D760" s="68" t="s">
        <v>503</v>
      </c>
      <c r="E760">
        <v>4</v>
      </c>
      <c r="F760">
        <v>141.04</v>
      </c>
      <c r="G760">
        <v>132.41125</v>
      </c>
      <c r="H760">
        <v>6.35</v>
      </c>
      <c r="I760">
        <v>0</v>
      </c>
      <c r="J760">
        <v>-28.164999999999981</v>
      </c>
      <c r="K760">
        <v>-4.9923780487804853E-2</v>
      </c>
    </row>
    <row r="761" spans="1:11" x14ac:dyDescent="0.3">
      <c r="A761" s="37">
        <v>1</v>
      </c>
      <c r="B761" t="s">
        <v>447</v>
      </c>
      <c r="C761" s="68" t="s">
        <v>504</v>
      </c>
      <c r="D761" s="68" t="s">
        <v>503</v>
      </c>
      <c r="E761">
        <v>4</v>
      </c>
      <c r="F761">
        <v>141.04</v>
      </c>
      <c r="G761">
        <v>132.41437500000001</v>
      </c>
      <c r="H761">
        <v>6.35</v>
      </c>
      <c r="I761">
        <v>0</v>
      </c>
      <c r="J761">
        <v>-28.152499999999939</v>
      </c>
      <c r="K761">
        <v>-4.9901623652864331E-2</v>
      </c>
    </row>
    <row r="762" spans="1:11" x14ac:dyDescent="0.3">
      <c r="A762" s="37">
        <v>1</v>
      </c>
      <c r="B762" t="s">
        <v>448</v>
      </c>
      <c r="C762" s="68" t="s">
        <v>504</v>
      </c>
      <c r="D762" s="68" t="s">
        <v>503</v>
      </c>
      <c r="E762">
        <v>4</v>
      </c>
      <c r="F762">
        <v>141.04</v>
      </c>
      <c r="G762">
        <v>132.41749999999999</v>
      </c>
      <c r="H762">
        <v>6.35</v>
      </c>
      <c r="I762">
        <v>0</v>
      </c>
      <c r="J762">
        <v>-28.140000000000011</v>
      </c>
      <c r="K762">
        <v>-4.9879466817924011E-2</v>
      </c>
    </row>
    <row r="763" spans="1:11" x14ac:dyDescent="0.3">
      <c r="A763" s="37">
        <v>1</v>
      </c>
      <c r="B763" t="s">
        <v>449</v>
      </c>
      <c r="C763" s="68" t="s">
        <v>504</v>
      </c>
      <c r="D763" s="68" t="s">
        <v>503</v>
      </c>
      <c r="E763">
        <v>4</v>
      </c>
      <c r="F763">
        <v>141.04</v>
      </c>
      <c r="G763">
        <v>132.420625</v>
      </c>
      <c r="H763">
        <v>6.35</v>
      </c>
      <c r="I763">
        <v>0</v>
      </c>
      <c r="J763">
        <v>-28.127499999999959</v>
      </c>
      <c r="K763">
        <v>-4.9857309982983489E-2</v>
      </c>
    </row>
    <row r="764" spans="1:11" x14ac:dyDescent="0.3">
      <c r="A764" s="37">
        <v>1</v>
      </c>
      <c r="B764" t="s">
        <v>450</v>
      </c>
      <c r="C764" s="68" t="s">
        <v>504</v>
      </c>
      <c r="D764" s="68" t="s">
        <v>503</v>
      </c>
      <c r="E764">
        <v>4</v>
      </c>
      <c r="F764">
        <v>141.04</v>
      </c>
      <c r="G764">
        <v>132.42375000000001</v>
      </c>
      <c r="H764">
        <v>6.35</v>
      </c>
      <c r="I764">
        <v>0</v>
      </c>
      <c r="J764">
        <v>-28.11500000000003</v>
      </c>
      <c r="K764">
        <v>-4.9835153148043168E-2</v>
      </c>
    </row>
    <row r="765" spans="1:11" x14ac:dyDescent="0.3">
      <c r="A765" s="37">
        <v>1</v>
      </c>
      <c r="B765" t="s">
        <v>451</v>
      </c>
      <c r="C765" s="68" t="s">
        <v>504</v>
      </c>
      <c r="D765" s="68" t="s">
        <v>503</v>
      </c>
      <c r="E765">
        <v>4</v>
      </c>
      <c r="F765">
        <v>141.04</v>
      </c>
      <c r="G765">
        <v>132.426875</v>
      </c>
      <c r="H765">
        <v>6.35</v>
      </c>
      <c r="I765">
        <v>0</v>
      </c>
      <c r="J765">
        <v>-28.102499999999981</v>
      </c>
      <c r="K765">
        <v>-4.9812996313102639E-2</v>
      </c>
    </row>
    <row r="766" spans="1:11" x14ac:dyDescent="0.3">
      <c r="A766" s="37">
        <v>1</v>
      </c>
      <c r="B766" t="s">
        <v>452</v>
      </c>
      <c r="C766" s="68" t="s">
        <v>504</v>
      </c>
      <c r="D766" s="68" t="s">
        <v>503</v>
      </c>
      <c r="E766">
        <v>4</v>
      </c>
      <c r="F766">
        <v>141.04</v>
      </c>
      <c r="G766">
        <v>132.43</v>
      </c>
      <c r="H766">
        <v>6.35</v>
      </c>
      <c r="I766">
        <v>0</v>
      </c>
      <c r="J766">
        <v>-28.089999999999939</v>
      </c>
      <c r="K766">
        <v>-4.9790839478162117E-2</v>
      </c>
    </row>
    <row r="767" spans="1:11" x14ac:dyDescent="0.3">
      <c r="A767" s="37">
        <v>1</v>
      </c>
      <c r="B767" t="s">
        <v>453</v>
      </c>
      <c r="C767" s="68" t="s">
        <v>504</v>
      </c>
      <c r="D767" s="68" t="s">
        <v>503</v>
      </c>
      <c r="E767">
        <v>7</v>
      </c>
      <c r="F767">
        <v>140.04</v>
      </c>
      <c r="G767">
        <v>132.43312499999999</v>
      </c>
      <c r="H767">
        <v>6.35</v>
      </c>
      <c r="I767">
        <v>0</v>
      </c>
      <c r="J767">
        <v>-46.898125000000007</v>
      </c>
      <c r="K767">
        <v>-4.7841560574529741E-2</v>
      </c>
    </row>
    <row r="768" spans="1:11" x14ac:dyDescent="0.3">
      <c r="A768" s="37">
        <v>1</v>
      </c>
      <c r="B768" t="s">
        <v>454</v>
      </c>
      <c r="C768" s="68" t="s">
        <v>504</v>
      </c>
      <c r="D768" s="68" t="s">
        <v>503</v>
      </c>
      <c r="E768">
        <v>7</v>
      </c>
      <c r="F768">
        <v>140.04</v>
      </c>
      <c r="G768">
        <v>132.43625</v>
      </c>
      <c r="H768">
        <v>6.35</v>
      </c>
      <c r="I768">
        <v>0</v>
      </c>
      <c r="J768">
        <v>-46.876249999999928</v>
      </c>
      <c r="K768">
        <v>-4.7819245521687613E-2</v>
      </c>
    </row>
    <row r="769" spans="1:11" x14ac:dyDescent="0.3">
      <c r="A769" s="37">
        <v>1</v>
      </c>
      <c r="B769" t="s">
        <v>455</v>
      </c>
      <c r="C769" s="68" t="s">
        <v>504</v>
      </c>
      <c r="D769" s="68" t="s">
        <v>503</v>
      </c>
      <c r="E769">
        <v>7</v>
      </c>
      <c r="F769">
        <v>140.04</v>
      </c>
      <c r="G769">
        <v>132.43937500000001</v>
      </c>
      <c r="H769">
        <v>6.35</v>
      </c>
      <c r="I769">
        <v>0</v>
      </c>
      <c r="J769">
        <v>-46.854375000000047</v>
      </c>
      <c r="K769">
        <v>-4.7796930468845693E-2</v>
      </c>
    </row>
    <row r="770" spans="1:11" x14ac:dyDescent="0.3">
      <c r="A770" s="37">
        <v>1</v>
      </c>
      <c r="B770" t="s">
        <v>456</v>
      </c>
      <c r="C770" s="68" t="s">
        <v>504</v>
      </c>
      <c r="D770" s="68" t="s">
        <v>503</v>
      </c>
      <c r="E770">
        <v>7</v>
      </c>
      <c r="F770">
        <v>140.04</v>
      </c>
      <c r="G770">
        <v>132.4425</v>
      </c>
      <c r="H770">
        <v>6.35</v>
      </c>
      <c r="I770">
        <v>0</v>
      </c>
      <c r="J770">
        <v>-46.832499999999968</v>
      </c>
      <c r="K770">
        <v>-4.7774615416003557E-2</v>
      </c>
    </row>
    <row r="771" spans="1:11" x14ac:dyDescent="0.3">
      <c r="A771" s="37">
        <v>1</v>
      </c>
      <c r="B771" t="s">
        <v>457</v>
      </c>
      <c r="C771" s="68" t="s">
        <v>504</v>
      </c>
      <c r="D771" s="68" t="s">
        <v>503</v>
      </c>
      <c r="E771">
        <v>7</v>
      </c>
      <c r="F771">
        <v>140.04</v>
      </c>
      <c r="G771">
        <v>132.44562500000001</v>
      </c>
      <c r="H771">
        <v>6.35</v>
      </c>
      <c r="I771">
        <v>0</v>
      </c>
      <c r="J771">
        <v>-46.810625000000087</v>
      </c>
      <c r="K771">
        <v>-4.7752300363161637E-2</v>
      </c>
    </row>
    <row r="772" spans="1:11" x14ac:dyDescent="0.3">
      <c r="A772" s="37">
        <v>1</v>
      </c>
      <c r="B772" t="s">
        <v>458</v>
      </c>
      <c r="C772" s="68" t="s">
        <v>504</v>
      </c>
      <c r="D772" s="68" t="s">
        <v>503</v>
      </c>
      <c r="E772">
        <v>7</v>
      </c>
      <c r="F772">
        <v>140.04</v>
      </c>
      <c r="G772">
        <v>132.44874999999999</v>
      </c>
      <c r="H772">
        <v>6.35</v>
      </c>
      <c r="I772">
        <v>0</v>
      </c>
      <c r="J772">
        <v>-46.788750000000007</v>
      </c>
      <c r="K772">
        <v>-4.7729985310319523E-2</v>
      </c>
    </row>
    <row r="773" spans="1:11" x14ac:dyDescent="0.3">
      <c r="A773" s="37">
        <v>1</v>
      </c>
      <c r="B773" t="s">
        <v>459</v>
      </c>
      <c r="C773" s="68" t="s">
        <v>504</v>
      </c>
      <c r="D773" s="68" t="s">
        <v>503</v>
      </c>
      <c r="E773">
        <v>7</v>
      </c>
      <c r="F773">
        <v>140.04</v>
      </c>
      <c r="G773">
        <v>132.451875</v>
      </c>
      <c r="H773">
        <v>6.35</v>
      </c>
      <c r="I773">
        <v>0</v>
      </c>
      <c r="J773">
        <v>-46.766874999999928</v>
      </c>
      <c r="K773">
        <v>-4.7707670257477387E-2</v>
      </c>
    </row>
    <row r="774" spans="1:11" x14ac:dyDescent="0.3">
      <c r="A774" s="37">
        <v>1</v>
      </c>
      <c r="B774" t="s">
        <v>460</v>
      </c>
      <c r="C774" s="68" t="s">
        <v>504</v>
      </c>
      <c r="D774" s="68" t="s">
        <v>503</v>
      </c>
      <c r="E774">
        <v>7</v>
      </c>
      <c r="F774">
        <v>140.04</v>
      </c>
      <c r="G774">
        <v>132.45500000000001</v>
      </c>
      <c r="H774">
        <v>6.35</v>
      </c>
      <c r="I774">
        <v>0</v>
      </c>
      <c r="J774">
        <v>-46.745000000000047</v>
      </c>
      <c r="K774">
        <v>-4.7685355204635467E-2</v>
      </c>
    </row>
    <row r="775" spans="1:11" x14ac:dyDescent="0.3">
      <c r="A775" s="37">
        <v>1</v>
      </c>
      <c r="B775" t="s">
        <v>461</v>
      </c>
      <c r="C775" s="68" t="s">
        <v>504</v>
      </c>
      <c r="D775" s="68" t="s">
        <v>503</v>
      </c>
      <c r="E775">
        <v>7</v>
      </c>
      <c r="F775">
        <v>140.04</v>
      </c>
      <c r="G775">
        <v>132.458125</v>
      </c>
      <c r="H775">
        <v>6.35</v>
      </c>
      <c r="I775">
        <v>0</v>
      </c>
      <c r="J775">
        <v>-46.723124999999968</v>
      </c>
      <c r="K775">
        <v>-4.7663040151793339E-2</v>
      </c>
    </row>
    <row r="776" spans="1:11" x14ac:dyDescent="0.3">
      <c r="A776" s="37">
        <v>1</v>
      </c>
      <c r="B776" t="s">
        <v>462</v>
      </c>
      <c r="C776" s="68" t="s">
        <v>504</v>
      </c>
      <c r="D776" s="68" t="s">
        <v>503</v>
      </c>
      <c r="E776">
        <v>7</v>
      </c>
      <c r="F776">
        <v>140.04</v>
      </c>
      <c r="G776">
        <v>132.46125000000001</v>
      </c>
      <c r="H776">
        <v>6.35</v>
      </c>
      <c r="I776">
        <v>0</v>
      </c>
      <c r="J776">
        <v>-46.701250000000087</v>
      </c>
      <c r="K776">
        <v>-4.7640725098951418E-2</v>
      </c>
    </row>
    <row r="777" spans="1:11" x14ac:dyDescent="0.3">
      <c r="A777" s="37">
        <v>1</v>
      </c>
      <c r="B777" t="s">
        <v>463</v>
      </c>
      <c r="C777" s="68" t="s">
        <v>504</v>
      </c>
      <c r="D777" s="68" t="s">
        <v>503</v>
      </c>
      <c r="E777">
        <v>7</v>
      </c>
      <c r="F777">
        <v>140.04</v>
      </c>
      <c r="G777">
        <v>132.46437499999999</v>
      </c>
      <c r="H777">
        <v>6.35</v>
      </c>
      <c r="I777">
        <v>0</v>
      </c>
      <c r="J777">
        <v>-46.679375000000007</v>
      </c>
      <c r="K777">
        <v>-4.761841004610929E-2</v>
      </c>
    </row>
    <row r="778" spans="1:11" x14ac:dyDescent="0.3">
      <c r="A778" s="37">
        <v>1</v>
      </c>
      <c r="B778" t="s">
        <v>464</v>
      </c>
      <c r="C778" s="68" t="s">
        <v>504</v>
      </c>
      <c r="D778" s="68" t="s">
        <v>503</v>
      </c>
      <c r="E778">
        <v>7</v>
      </c>
      <c r="F778">
        <v>140.04</v>
      </c>
      <c r="G778">
        <v>132.4675</v>
      </c>
      <c r="H778">
        <v>6.35</v>
      </c>
      <c r="I778">
        <v>0</v>
      </c>
      <c r="J778">
        <v>-46.657499999999928</v>
      </c>
      <c r="K778">
        <v>-4.7596094993267161E-2</v>
      </c>
    </row>
    <row r="779" spans="1:11" x14ac:dyDescent="0.3">
      <c r="A779" s="37">
        <v>1</v>
      </c>
      <c r="B779" t="s">
        <v>465</v>
      </c>
      <c r="C779" s="68" t="s">
        <v>504</v>
      </c>
      <c r="D779" s="68" t="s">
        <v>503</v>
      </c>
      <c r="E779">
        <v>7</v>
      </c>
      <c r="F779">
        <v>140.04</v>
      </c>
      <c r="G779">
        <v>132.47062500000001</v>
      </c>
      <c r="H779">
        <v>6.35</v>
      </c>
      <c r="I779">
        <v>0</v>
      </c>
      <c r="J779">
        <v>-46.635625000000047</v>
      </c>
      <c r="K779">
        <v>-4.7573779940425241E-2</v>
      </c>
    </row>
    <row r="780" spans="1:11" x14ac:dyDescent="0.3">
      <c r="A780" s="37">
        <v>1</v>
      </c>
      <c r="B780" t="s">
        <v>466</v>
      </c>
      <c r="C780" s="68" t="s">
        <v>504</v>
      </c>
      <c r="D780" s="68" t="s">
        <v>503</v>
      </c>
      <c r="E780">
        <v>7</v>
      </c>
      <c r="F780">
        <v>140.04</v>
      </c>
      <c r="G780">
        <v>132.47375</v>
      </c>
      <c r="H780">
        <v>6.35</v>
      </c>
      <c r="I780">
        <v>0</v>
      </c>
      <c r="J780">
        <v>-46.613749999999968</v>
      </c>
      <c r="K780">
        <v>-4.7551464887583113E-2</v>
      </c>
    </row>
    <row r="781" spans="1:11" x14ac:dyDescent="0.3">
      <c r="A781" s="37">
        <v>1</v>
      </c>
      <c r="B781" t="s">
        <v>467</v>
      </c>
      <c r="C781" s="68" t="s">
        <v>504</v>
      </c>
      <c r="D781" s="68" t="s">
        <v>503</v>
      </c>
      <c r="E781">
        <v>7</v>
      </c>
      <c r="F781">
        <v>140.04</v>
      </c>
      <c r="G781">
        <v>132.47687500000001</v>
      </c>
      <c r="H781">
        <v>6.35</v>
      </c>
      <c r="I781">
        <v>0</v>
      </c>
      <c r="J781">
        <v>-46.591875000000087</v>
      </c>
      <c r="K781">
        <v>-4.7529149834741193E-2</v>
      </c>
    </row>
    <row r="782" spans="1:11" x14ac:dyDescent="0.3">
      <c r="A782" s="37">
        <v>1</v>
      </c>
      <c r="B782" t="s">
        <v>468</v>
      </c>
      <c r="C782" s="68" t="s">
        <v>504</v>
      </c>
      <c r="D782" s="68" t="s">
        <v>503</v>
      </c>
      <c r="E782">
        <v>7</v>
      </c>
      <c r="F782">
        <v>140.04</v>
      </c>
      <c r="G782">
        <v>132.47999999999999</v>
      </c>
      <c r="H782">
        <v>6.35</v>
      </c>
      <c r="I782">
        <v>0</v>
      </c>
      <c r="J782">
        <v>-46.570000000000007</v>
      </c>
      <c r="K782">
        <v>-4.7506834781899057E-2</v>
      </c>
    </row>
    <row r="783" spans="1:11" x14ac:dyDescent="0.3">
      <c r="A783" s="37">
        <v>1</v>
      </c>
      <c r="B783" t="s">
        <v>469</v>
      </c>
      <c r="C783" s="68" t="s">
        <v>504</v>
      </c>
      <c r="D783" s="68" t="s">
        <v>503</v>
      </c>
      <c r="E783">
        <v>7</v>
      </c>
      <c r="F783">
        <v>140.04</v>
      </c>
      <c r="G783">
        <v>132.4452380952381</v>
      </c>
      <c r="H783">
        <v>17.55</v>
      </c>
      <c r="I783">
        <v>0</v>
      </c>
      <c r="J783">
        <v>-35.613333333333273</v>
      </c>
      <c r="K783">
        <v>-3.6329756124100533E-2</v>
      </c>
    </row>
    <row r="784" spans="1:11" x14ac:dyDescent="0.3">
      <c r="A784" s="37">
        <v>1</v>
      </c>
      <c r="B784" t="s">
        <v>470</v>
      </c>
      <c r="C784" s="68" t="s">
        <v>504</v>
      </c>
      <c r="D784" s="68" t="s">
        <v>503</v>
      </c>
      <c r="E784">
        <v>7</v>
      </c>
      <c r="F784">
        <v>140.04</v>
      </c>
      <c r="G784">
        <v>132.4104761904762</v>
      </c>
      <c r="H784">
        <v>17.55</v>
      </c>
      <c r="I784">
        <v>0</v>
      </c>
      <c r="J784">
        <v>-35.856666666666733</v>
      </c>
      <c r="K784">
        <v>-3.657798452142931E-2</v>
      </c>
    </row>
    <row r="785" spans="1:11" x14ac:dyDescent="0.3">
      <c r="A785" s="37">
        <v>1</v>
      </c>
      <c r="B785" t="s">
        <v>471</v>
      </c>
      <c r="C785" s="68" t="s">
        <v>504</v>
      </c>
      <c r="D785" s="68" t="s">
        <v>503</v>
      </c>
      <c r="E785">
        <v>7</v>
      </c>
      <c r="F785">
        <v>140.04</v>
      </c>
      <c r="G785">
        <v>132.37571428571431</v>
      </c>
      <c r="H785">
        <v>17.55</v>
      </c>
      <c r="I785">
        <v>0</v>
      </c>
      <c r="J785">
        <v>-36.09999999999998</v>
      </c>
      <c r="K785">
        <v>-3.6826212918757893E-2</v>
      </c>
    </row>
    <row r="786" spans="1:11" x14ac:dyDescent="0.3">
      <c r="A786" s="37">
        <v>1</v>
      </c>
      <c r="B786" t="s">
        <v>472</v>
      </c>
      <c r="C786" s="68" t="s">
        <v>504</v>
      </c>
      <c r="D786" s="68" t="s">
        <v>503</v>
      </c>
      <c r="E786">
        <v>7</v>
      </c>
      <c r="F786">
        <v>140.04</v>
      </c>
      <c r="G786">
        <v>132.34095238095239</v>
      </c>
      <c r="H786">
        <v>17.55</v>
      </c>
      <c r="I786">
        <v>0</v>
      </c>
      <c r="J786">
        <v>-36.343333333333433</v>
      </c>
      <c r="K786">
        <v>-3.7074441316086663E-2</v>
      </c>
    </row>
    <row r="787" spans="1:11" x14ac:dyDescent="0.3">
      <c r="A787" s="37">
        <v>1</v>
      </c>
      <c r="B787" t="s">
        <v>473</v>
      </c>
      <c r="C787" s="68" t="s">
        <v>504</v>
      </c>
      <c r="D787" s="68" t="s">
        <v>503</v>
      </c>
      <c r="E787">
        <v>7</v>
      </c>
      <c r="F787">
        <v>140.04</v>
      </c>
      <c r="G787">
        <v>132.30619047619049</v>
      </c>
      <c r="H787">
        <v>17.55</v>
      </c>
      <c r="I787">
        <v>0</v>
      </c>
      <c r="J787">
        <v>-36.586666666666687</v>
      </c>
      <c r="K787">
        <v>-3.7322669713415239E-2</v>
      </c>
    </row>
    <row r="788" spans="1:11" x14ac:dyDescent="0.3">
      <c r="A788" s="37">
        <v>1</v>
      </c>
      <c r="B788" t="s">
        <v>474</v>
      </c>
      <c r="C788" s="68" t="s">
        <v>504</v>
      </c>
      <c r="D788" s="68" t="s">
        <v>503</v>
      </c>
      <c r="E788">
        <v>7</v>
      </c>
      <c r="F788">
        <v>140.04</v>
      </c>
      <c r="G788">
        <v>132.2714285714286</v>
      </c>
      <c r="H788">
        <v>17.55</v>
      </c>
      <c r="I788">
        <v>0</v>
      </c>
      <c r="J788">
        <v>-36.829999999999941</v>
      </c>
      <c r="K788">
        <v>-3.7570898110743808E-2</v>
      </c>
    </row>
    <row r="789" spans="1:11" x14ac:dyDescent="0.3">
      <c r="A789" s="37">
        <v>1</v>
      </c>
      <c r="B789" t="s">
        <v>475</v>
      </c>
      <c r="C789" s="68" t="s">
        <v>504</v>
      </c>
      <c r="D789" s="68" t="s">
        <v>503</v>
      </c>
      <c r="E789">
        <v>7</v>
      </c>
      <c r="F789">
        <v>140.04</v>
      </c>
      <c r="G789">
        <v>132.23666666666671</v>
      </c>
      <c r="H789">
        <v>17.55</v>
      </c>
      <c r="I789">
        <v>0</v>
      </c>
      <c r="J789">
        <v>-37.073333333333387</v>
      </c>
      <c r="K789">
        <v>-3.7819126508072592E-2</v>
      </c>
    </row>
    <row r="790" spans="1:11" x14ac:dyDescent="0.3">
      <c r="A790" s="37">
        <v>1</v>
      </c>
      <c r="B790" t="s">
        <v>476</v>
      </c>
      <c r="C790" s="68" t="s">
        <v>504</v>
      </c>
      <c r="D790" s="68" t="s">
        <v>503</v>
      </c>
      <c r="E790">
        <v>7</v>
      </c>
      <c r="F790">
        <v>140.04</v>
      </c>
      <c r="G790">
        <v>132.20190476190481</v>
      </c>
      <c r="H790">
        <v>17.55</v>
      </c>
      <c r="I790">
        <v>0</v>
      </c>
      <c r="J790">
        <v>-37.316666666666649</v>
      </c>
      <c r="K790">
        <v>-3.8067354905401161E-2</v>
      </c>
    </row>
    <row r="791" spans="1:11" x14ac:dyDescent="0.3">
      <c r="A791" s="37">
        <v>1</v>
      </c>
      <c r="B791" t="s">
        <v>477</v>
      </c>
      <c r="C791" s="68" t="s">
        <v>504</v>
      </c>
      <c r="D791" s="68" t="s">
        <v>503</v>
      </c>
      <c r="E791">
        <v>7</v>
      </c>
      <c r="F791">
        <v>140.04</v>
      </c>
      <c r="G791">
        <v>132.16714285714289</v>
      </c>
      <c r="H791">
        <v>17.55</v>
      </c>
      <c r="I791">
        <v>0</v>
      </c>
      <c r="J791">
        <v>-37.559999999999903</v>
      </c>
      <c r="K791">
        <v>-3.8315583302729737E-2</v>
      </c>
    </row>
    <row r="792" spans="1:11" x14ac:dyDescent="0.3">
      <c r="A792" s="37">
        <v>1</v>
      </c>
      <c r="B792" t="s">
        <v>478</v>
      </c>
      <c r="C792" s="68" t="s">
        <v>504</v>
      </c>
      <c r="D792" s="68" t="s">
        <v>503</v>
      </c>
      <c r="E792">
        <v>7</v>
      </c>
      <c r="F792">
        <v>140.04</v>
      </c>
      <c r="G792">
        <v>132.13238095238091</v>
      </c>
      <c r="H792">
        <v>17.55</v>
      </c>
      <c r="I792">
        <v>0</v>
      </c>
      <c r="J792">
        <v>-37.803333333333363</v>
      </c>
      <c r="K792">
        <v>-3.8563811700058508E-2</v>
      </c>
    </row>
    <row r="793" spans="1:11" x14ac:dyDescent="0.3">
      <c r="A793" s="37">
        <v>1</v>
      </c>
      <c r="B793" t="s">
        <v>479</v>
      </c>
      <c r="C793" s="68" t="s">
        <v>504</v>
      </c>
      <c r="D793" s="68" t="s">
        <v>503</v>
      </c>
      <c r="E793">
        <v>7</v>
      </c>
      <c r="F793">
        <v>140.04</v>
      </c>
      <c r="G793">
        <v>132.09761904761899</v>
      </c>
      <c r="H793">
        <v>17.55</v>
      </c>
      <c r="I793">
        <v>0</v>
      </c>
      <c r="J793">
        <v>-38.04666666666661</v>
      </c>
      <c r="K793">
        <v>-3.8812040097387077E-2</v>
      </c>
    </row>
    <row r="794" spans="1:11" x14ac:dyDescent="0.3">
      <c r="A794" s="37">
        <v>1</v>
      </c>
      <c r="B794" t="s">
        <v>480</v>
      </c>
      <c r="C794" s="68" t="s">
        <v>504</v>
      </c>
      <c r="D794" s="68" t="s">
        <v>503</v>
      </c>
      <c r="E794">
        <v>7</v>
      </c>
      <c r="F794">
        <v>140.04</v>
      </c>
      <c r="G794">
        <v>132.0628571428571</v>
      </c>
      <c r="H794">
        <v>17.55</v>
      </c>
      <c r="I794">
        <v>0</v>
      </c>
      <c r="J794">
        <v>-38.290000000000063</v>
      </c>
      <c r="K794">
        <v>-3.9060268494715861E-2</v>
      </c>
    </row>
    <row r="795" spans="1:11" x14ac:dyDescent="0.3">
      <c r="A795" s="37">
        <v>1</v>
      </c>
      <c r="B795" t="s">
        <v>481</v>
      </c>
      <c r="C795" s="68" t="s">
        <v>504</v>
      </c>
      <c r="D795" s="68" t="s">
        <v>503</v>
      </c>
      <c r="E795">
        <v>7</v>
      </c>
      <c r="F795">
        <v>140.04</v>
      </c>
      <c r="G795">
        <v>132.0280952380952</v>
      </c>
      <c r="H795">
        <v>17.55</v>
      </c>
      <c r="I795">
        <v>0</v>
      </c>
      <c r="J795">
        <v>-38.533333333333317</v>
      </c>
      <c r="K795">
        <v>-3.9308496892044437E-2</v>
      </c>
    </row>
    <row r="796" spans="1:11" x14ac:dyDescent="0.3">
      <c r="A796" s="37">
        <v>1</v>
      </c>
      <c r="B796" t="s">
        <v>482</v>
      </c>
      <c r="C796" s="68" t="s">
        <v>504</v>
      </c>
      <c r="D796" s="68" t="s">
        <v>503</v>
      </c>
      <c r="E796">
        <v>7</v>
      </c>
      <c r="F796">
        <v>140.04</v>
      </c>
      <c r="G796">
        <v>131.99333333333331</v>
      </c>
      <c r="H796">
        <v>17.55</v>
      </c>
      <c r="I796">
        <v>0</v>
      </c>
      <c r="J796">
        <v>-38.776666666666571</v>
      </c>
      <c r="K796">
        <v>-3.9556725289373013E-2</v>
      </c>
    </row>
    <row r="797" spans="1:11" x14ac:dyDescent="0.3">
      <c r="A797" s="37">
        <v>1</v>
      </c>
      <c r="B797" t="s">
        <v>483</v>
      </c>
      <c r="C797" s="68" t="s">
        <v>504</v>
      </c>
      <c r="D797" s="68" t="s">
        <v>503</v>
      </c>
      <c r="E797">
        <v>7</v>
      </c>
      <c r="F797">
        <v>140.04</v>
      </c>
      <c r="G797">
        <v>131.95857142857139</v>
      </c>
      <c r="H797">
        <v>17.55</v>
      </c>
      <c r="I797">
        <v>0</v>
      </c>
      <c r="J797">
        <v>-39.020000000000017</v>
      </c>
      <c r="K797">
        <v>-3.9804953686701783E-2</v>
      </c>
    </row>
    <row r="798" spans="1:11" x14ac:dyDescent="0.3">
      <c r="A798" s="37">
        <v>1</v>
      </c>
      <c r="B798" t="s">
        <v>484</v>
      </c>
      <c r="C798" s="68" t="s">
        <v>504</v>
      </c>
      <c r="D798" s="68" t="s">
        <v>503</v>
      </c>
      <c r="E798">
        <v>7</v>
      </c>
      <c r="F798">
        <v>140.04</v>
      </c>
      <c r="G798">
        <v>131.9238095238095</v>
      </c>
      <c r="H798">
        <v>17.55</v>
      </c>
      <c r="I798">
        <v>0</v>
      </c>
      <c r="J798">
        <v>-39.263333333333279</v>
      </c>
      <c r="K798">
        <v>-4.0053182084030359E-2</v>
      </c>
    </row>
    <row r="799" spans="1:11" x14ac:dyDescent="0.3">
      <c r="A799" s="37">
        <v>1</v>
      </c>
      <c r="B799" t="s">
        <v>485</v>
      </c>
      <c r="C799" s="68" t="s">
        <v>504</v>
      </c>
      <c r="D799" s="68" t="s">
        <v>503</v>
      </c>
      <c r="E799">
        <v>7</v>
      </c>
      <c r="F799">
        <v>140.04</v>
      </c>
      <c r="G799">
        <v>131.8890476190476</v>
      </c>
      <c r="H799">
        <v>17.55</v>
      </c>
      <c r="I799">
        <v>0</v>
      </c>
      <c r="J799">
        <v>-39.506666666666533</v>
      </c>
      <c r="K799">
        <v>-4.0301410481358928E-2</v>
      </c>
    </row>
    <row r="800" spans="1:11" x14ac:dyDescent="0.3">
      <c r="A800" s="37">
        <v>1</v>
      </c>
      <c r="B800" t="s">
        <v>486</v>
      </c>
      <c r="C800" s="68" t="s">
        <v>504</v>
      </c>
      <c r="D800" s="68" t="s">
        <v>503</v>
      </c>
      <c r="E800">
        <v>7</v>
      </c>
      <c r="F800">
        <v>140.04</v>
      </c>
      <c r="G800">
        <v>131.85428571428571</v>
      </c>
      <c r="H800">
        <v>17.55</v>
      </c>
      <c r="I800">
        <v>0</v>
      </c>
      <c r="J800">
        <v>-39.749999999999993</v>
      </c>
      <c r="K800">
        <v>-4.0549638878687712E-2</v>
      </c>
    </row>
    <row r="801" spans="1:11" x14ac:dyDescent="0.3">
      <c r="A801" s="37">
        <v>1</v>
      </c>
      <c r="B801" t="s">
        <v>487</v>
      </c>
      <c r="C801" s="68" t="s">
        <v>504</v>
      </c>
      <c r="D801" s="68" t="s">
        <v>503</v>
      </c>
      <c r="E801">
        <v>7</v>
      </c>
      <c r="F801">
        <v>140.04</v>
      </c>
      <c r="G801">
        <v>131.81952380952379</v>
      </c>
      <c r="H801">
        <v>17.55</v>
      </c>
      <c r="I801">
        <v>0</v>
      </c>
      <c r="J801">
        <v>-39.99333333333324</v>
      </c>
      <c r="K801">
        <v>-4.0797867276016281E-2</v>
      </c>
    </row>
    <row r="802" spans="1:11" x14ac:dyDescent="0.3">
      <c r="A802" s="37">
        <v>1</v>
      </c>
      <c r="B802" t="s">
        <v>488</v>
      </c>
      <c r="C802" s="68" t="s">
        <v>504</v>
      </c>
      <c r="D802" s="68" t="s">
        <v>503</v>
      </c>
      <c r="E802">
        <v>7</v>
      </c>
      <c r="F802">
        <v>140.04</v>
      </c>
      <c r="G802">
        <v>131.78476190476189</v>
      </c>
      <c r="H802">
        <v>17.55</v>
      </c>
      <c r="I802">
        <v>0</v>
      </c>
      <c r="J802">
        <v>-40.236666666666693</v>
      </c>
      <c r="K802">
        <v>-4.1046095673345058E-2</v>
      </c>
    </row>
    <row r="803" spans="1:11" x14ac:dyDescent="0.3">
      <c r="A803" s="37">
        <v>1</v>
      </c>
      <c r="B803" t="s">
        <v>489</v>
      </c>
      <c r="C803" s="68" t="s">
        <v>504</v>
      </c>
      <c r="D803" s="68" t="s">
        <v>503</v>
      </c>
      <c r="E803">
        <v>7</v>
      </c>
      <c r="F803">
        <v>140.04</v>
      </c>
      <c r="G803">
        <v>131.75</v>
      </c>
      <c r="H803">
        <v>17.55</v>
      </c>
      <c r="I803">
        <v>0</v>
      </c>
      <c r="J803">
        <v>-40.479999999999947</v>
      </c>
      <c r="K803">
        <v>-4.1294324070673627E-2</v>
      </c>
    </row>
    <row r="804" spans="1:11" x14ac:dyDescent="0.3">
      <c r="A804" s="37">
        <v>1</v>
      </c>
      <c r="B804" t="s">
        <v>490</v>
      </c>
      <c r="C804" s="68" t="s">
        <v>504</v>
      </c>
      <c r="D804" s="68" t="s">
        <v>503</v>
      </c>
      <c r="E804">
        <v>7</v>
      </c>
      <c r="F804">
        <v>140.04</v>
      </c>
      <c r="G804">
        <v>131.75</v>
      </c>
      <c r="H804">
        <v>17.55</v>
      </c>
      <c r="I804">
        <v>0</v>
      </c>
      <c r="J804">
        <v>-40.479999999999947</v>
      </c>
      <c r="K804">
        <v>-4.1294324070673627E-2</v>
      </c>
    </row>
    <row r="805" spans="1:11" x14ac:dyDescent="0.3">
      <c r="A805" s="37">
        <v>1</v>
      </c>
      <c r="B805" t="s">
        <v>491</v>
      </c>
      <c r="C805" s="68" t="s">
        <v>504</v>
      </c>
      <c r="D805" s="68" t="s">
        <v>503</v>
      </c>
      <c r="E805">
        <v>7</v>
      </c>
      <c r="F805">
        <v>140.04</v>
      </c>
      <c r="G805">
        <v>131.75</v>
      </c>
      <c r="H805">
        <v>23.83</v>
      </c>
      <c r="I805">
        <f>E805*(G805-F805)+H805</f>
        <v>-34.199999999999946</v>
      </c>
      <c r="J805">
        <v>-40.479999999999947</v>
      </c>
      <c r="K805">
        <v>-4.1294324070673627E-2</v>
      </c>
    </row>
    <row r="806" spans="1:11" x14ac:dyDescent="0.3">
      <c r="A806" s="37">
        <v>1</v>
      </c>
      <c r="B806" t="s">
        <v>492</v>
      </c>
      <c r="C806" s="68" t="s">
        <v>504</v>
      </c>
      <c r="D806" s="68" t="s">
        <v>503</v>
      </c>
      <c r="E806">
        <v>7</v>
      </c>
      <c r="F806">
        <v>140</v>
      </c>
      <c r="G806">
        <v>131.80000000000001</v>
      </c>
      <c r="H806">
        <v>23.83</v>
      </c>
      <c r="I806">
        <f>E806*(G806-F806)+H806</f>
        <v>-33.569999999999922</v>
      </c>
      <c r="J806">
        <v>-40.479999999999947</v>
      </c>
      <c r="K806">
        <v>-4.1294324070673627E-2</v>
      </c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EB4C-4A3D-47D8-8B41-FA067B77FE68}">
  <sheetPr>
    <outlinePr summaryBelow="0"/>
  </sheetPr>
  <dimension ref="A1:M310"/>
  <sheetViews>
    <sheetView workbookViewId="0">
      <selection sqref="A1:C9"/>
    </sheetView>
  </sheetViews>
  <sheetFormatPr defaultRowHeight="14.4" x14ac:dyDescent="0.3"/>
  <cols>
    <col min="1" max="1" width="18.21875" style="56" customWidth="1"/>
    <col min="2" max="2" width="18.21875" style="57" customWidth="1"/>
    <col min="3" max="6" width="18.21875" style="58" customWidth="1"/>
    <col min="7" max="7" width="18.21875" style="59" customWidth="1"/>
    <col min="8" max="8" width="18.21875" style="58" customWidth="1"/>
    <col min="9" max="9" width="10.6640625" style="55" bestFit="1" customWidth="1"/>
    <col min="10" max="10" width="11" style="55" bestFit="1" customWidth="1"/>
    <col min="11" max="11" width="12.88671875" style="55" bestFit="1" customWidth="1"/>
    <col min="12" max="12" width="8.88671875" style="55"/>
    <col min="13" max="13" width="11.88671875" style="55" bestFit="1" customWidth="1"/>
    <col min="14" max="16384" width="8.88671875" style="55"/>
  </cols>
  <sheetData>
    <row r="1" spans="1:11" ht="17.399999999999999" customHeight="1" x14ac:dyDescent="0.3">
      <c r="A1" s="12" t="s">
        <v>0</v>
      </c>
      <c r="B1" s="2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8" t="s">
        <v>7</v>
      </c>
    </row>
    <row r="2" spans="1:11" ht="17.399999999999999" customHeight="1" x14ac:dyDescent="0.3">
      <c r="A2" s="34">
        <v>1</v>
      </c>
      <c r="B2" s="50">
        <v>44926</v>
      </c>
      <c r="C2" s="31" t="s">
        <v>50</v>
      </c>
      <c r="D2" s="72" t="s">
        <v>65</v>
      </c>
      <c r="E2" s="31" t="s">
        <v>40</v>
      </c>
      <c r="F2" s="31" t="s">
        <v>11</v>
      </c>
      <c r="G2" s="62">
        <v>350.24365482233503</v>
      </c>
      <c r="H2" s="32" t="s">
        <v>53</v>
      </c>
      <c r="J2" s="62"/>
    </row>
    <row r="3" spans="1:11" ht="17.399999999999999" customHeight="1" x14ac:dyDescent="0.3">
      <c r="A3" s="5">
        <v>1</v>
      </c>
      <c r="B3" s="6">
        <v>45425</v>
      </c>
      <c r="C3" s="7" t="s">
        <v>8</v>
      </c>
      <c r="D3" s="8" t="s">
        <v>9</v>
      </c>
      <c r="E3" s="7" t="s">
        <v>10</v>
      </c>
      <c r="F3" s="7" t="s">
        <v>11</v>
      </c>
      <c r="G3" s="25">
        <v>822</v>
      </c>
      <c r="H3" s="8" t="s">
        <v>12</v>
      </c>
      <c r="J3" s="62"/>
    </row>
    <row r="4" spans="1:11" ht="17.399999999999999" customHeight="1" x14ac:dyDescent="0.3">
      <c r="A4" s="5">
        <v>1</v>
      </c>
      <c r="B4" s="6">
        <v>45582</v>
      </c>
      <c r="C4" s="7" t="s">
        <v>8</v>
      </c>
      <c r="D4" s="8" t="s">
        <v>14</v>
      </c>
      <c r="E4" s="7" t="s">
        <v>10</v>
      </c>
      <c r="F4" s="7" t="s">
        <v>11</v>
      </c>
      <c r="G4" s="25">
        <v>298.95999999999998</v>
      </c>
      <c r="H4" s="8" t="s">
        <v>12</v>
      </c>
      <c r="J4" s="62"/>
      <c r="K4" s="62"/>
    </row>
    <row r="5" spans="1:11" ht="17.399999999999999" customHeight="1" x14ac:dyDescent="0.3">
      <c r="A5" s="5">
        <v>1</v>
      </c>
      <c r="B5" s="6">
        <v>45613</v>
      </c>
      <c r="C5" s="7" t="s">
        <v>8</v>
      </c>
      <c r="D5" s="8" t="s">
        <v>16</v>
      </c>
      <c r="E5" s="7" t="s">
        <v>10</v>
      </c>
      <c r="F5" s="7" t="s">
        <v>11</v>
      </c>
      <c r="G5" s="25">
        <v>298.95999999999998</v>
      </c>
      <c r="H5" s="8" t="s">
        <v>12</v>
      </c>
      <c r="J5" s="62"/>
    </row>
    <row r="6" spans="1:11" ht="17.399999999999999" customHeight="1" x14ac:dyDescent="0.3">
      <c r="A6" s="5">
        <v>1</v>
      </c>
      <c r="B6" s="6">
        <v>45643</v>
      </c>
      <c r="C6" s="7" t="s">
        <v>8</v>
      </c>
      <c r="D6" s="8" t="s">
        <v>17</v>
      </c>
      <c r="E6" s="7" t="s">
        <v>10</v>
      </c>
      <c r="F6" s="7" t="s">
        <v>11</v>
      </c>
      <c r="G6" s="25">
        <v>298.95999999999998</v>
      </c>
      <c r="H6" s="8" t="s">
        <v>12</v>
      </c>
      <c r="J6" s="62"/>
    </row>
    <row r="7" spans="1:11" ht="17.399999999999999" customHeight="1" x14ac:dyDescent="0.3">
      <c r="A7" s="5">
        <v>1</v>
      </c>
      <c r="B7" s="6">
        <v>45504</v>
      </c>
      <c r="C7" s="7" t="s">
        <v>19</v>
      </c>
      <c r="D7" s="8" t="s">
        <v>20</v>
      </c>
      <c r="E7" s="7" t="s">
        <v>21</v>
      </c>
      <c r="F7" s="7" t="s">
        <v>11</v>
      </c>
      <c r="G7" s="25">
        <v>15.950000000000001</v>
      </c>
      <c r="H7" s="8" t="s">
        <v>12</v>
      </c>
      <c r="J7" s="62"/>
    </row>
    <row r="8" spans="1:11" ht="17.399999999999999" customHeight="1" x14ac:dyDescent="0.3">
      <c r="A8" s="5">
        <v>1</v>
      </c>
      <c r="B8" s="6">
        <v>45535</v>
      </c>
      <c r="C8" s="7" t="s">
        <v>19</v>
      </c>
      <c r="D8" s="8" t="s">
        <v>20</v>
      </c>
      <c r="E8" s="7" t="s">
        <v>21</v>
      </c>
      <c r="F8" s="7" t="s">
        <v>11</v>
      </c>
      <c r="G8" s="25">
        <v>3.76</v>
      </c>
      <c r="H8" s="8" t="s">
        <v>12</v>
      </c>
      <c r="J8" s="62"/>
    </row>
    <row r="9" spans="1:11" ht="17.399999999999999" customHeight="1" x14ac:dyDescent="0.3">
      <c r="A9" s="5">
        <v>1</v>
      </c>
      <c r="B9" s="6">
        <v>45565</v>
      </c>
      <c r="C9" s="7" t="s">
        <v>19</v>
      </c>
      <c r="D9" s="8" t="s">
        <v>20</v>
      </c>
      <c r="E9" s="7" t="s">
        <v>21</v>
      </c>
      <c r="F9" s="7" t="s">
        <v>11</v>
      </c>
      <c r="G9" s="25">
        <v>18.93</v>
      </c>
      <c r="H9" s="8" t="s">
        <v>12</v>
      </c>
      <c r="J9" s="62"/>
    </row>
    <row r="10" spans="1:11" ht="17.399999999999999" customHeight="1" x14ac:dyDescent="0.3">
      <c r="A10" s="5">
        <v>1</v>
      </c>
      <c r="B10" s="6">
        <v>45596</v>
      </c>
      <c r="C10" s="7" t="s">
        <v>19</v>
      </c>
      <c r="D10" s="8" t="s">
        <v>20</v>
      </c>
      <c r="E10" s="7" t="s">
        <v>21</v>
      </c>
      <c r="F10" s="7" t="s">
        <v>11</v>
      </c>
      <c r="G10" s="25">
        <v>9</v>
      </c>
      <c r="H10" s="8" t="s">
        <v>12</v>
      </c>
      <c r="J10" s="62"/>
      <c r="K10" s="62"/>
    </row>
    <row r="11" spans="1:11" ht="17.399999999999999" customHeight="1" x14ac:dyDescent="0.3">
      <c r="A11" s="5">
        <v>1</v>
      </c>
      <c r="B11" s="6">
        <v>45626</v>
      </c>
      <c r="C11" s="7" t="s">
        <v>19</v>
      </c>
      <c r="D11" s="8" t="s">
        <v>20</v>
      </c>
      <c r="E11" s="7" t="s">
        <v>21</v>
      </c>
      <c r="F11" s="7" t="s">
        <v>11</v>
      </c>
      <c r="G11" s="25">
        <v>28.24</v>
      </c>
      <c r="H11" s="8" t="s">
        <v>12</v>
      </c>
      <c r="J11" s="62"/>
    </row>
    <row r="12" spans="1:11" ht="17.399999999999999" customHeight="1" x14ac:dyDescent="0.3">
      <c r="A12" s="5">
        <v>1</v>
      </c>
      <c r="B12" s="6">
        <v>45657</v>
      </c>
      <c r="C12" s="7" t="s">
        <v>19</v>
      </c>
      <c r="D12" s="8" t="s">
        <v>20</v>
      </c>
      <c r="E12" s="7" t="s">
        <v>21</v>
      </c>
      <c r="F12" s="7" t="s">
        <v>11</v>
      </c>
      <c r="G12" s="25">
        <v>11.05</v>
      </c>
      <c r="H12" s="8" t="s">
        <v>12</v>
      </c>
      <c r="J12" s="62"/>
    </row>
    <row r="13" spans="1:11" ht="17.399999999999999" customHeight="1" x14ac:dyDescent="0.3">
      <c r="A13" s="5">
        <v>1</v>
      </c>
      <c r="B13" s="6">
        <v>45688</v>
      </c>
      <c r="C13" s="7" t="s">
        <v>19</v>
      </c>
      <c r="D13" s="8" t="s">
        <v>20</v>
      </c>
      <c r="E13" s="7" t="s">
        <v>21</v>
      </c>
      <c r="F13" s="7" t="s">
        <v>11</v>
      </c>
      <c r="G13" s="26">
        <v>4.04</v>
      </c>
      <c r="H13" s="8" t="s">
        <v>12</v>
      </c>
      <c r="J13" s="62"/>
    </row>
    <row r="14" spans="1:11" ht="17.399999999999999" customHeight="1" x14ac:dyDescent="0.3">
      <c r="A14" s="5">
        <v>1</v>
      </c>
      <c r="B14" s="6">
        <v>45716</v>
      </c>
      <c r="C14" s="7" t="s">
        <v>19</v>
      </c>
      <c r="D14" s="8" t="s">
        <v>20</v>
      </c>
      <c r="E14" s="7" t="s">
        <v>21</v>
      </c>
      <c r="F14" s="7" t="s">
        <v>11</v>
      </c>
      <c r="G14" s="26">
        <v>10.4</v>
      </c>
      <c r="H14" s="8" t="s">
        <v>12</v>
      </c>
      <c r="J14" s="62"/>
      <c r="K14" s="62"/>
    </row>
    <row r="15" spans="1:11" ht="17.399999999999999" customHeight="1" x14ac:dyDescent="0.3">
      <c r="A15" s="5">
        <v>1</v>
      </c>
      <c r="B15" s="6">
        <v>45747</v>
      </c>
      <c r="C15" s="7" t="s">
        <v>19</v>
      </c>
      <c r="D15" s="8" t="s">
        <v>20</v>
      </c>
      <c r="E15" s="7" t="s">
        <v>21</v>
      </c>
      <c r="F15" s="7" t="s">
        <v>11</v>
      </c>
      <c r="G15" s="26">
        <v>7.8</v>
      </c>
      <c r="H15" s="8" t="s">
        <v>12</v>
      </c>
      <c r="J15" s="62"/>
    </row>
    <row r="16" spans="1:11" ht="17.399999999999999" customHeight="1" x14ac:dyDescent="0.3">
      <c r="A16" s="5">
        <v>1</v>
      </c>
      <c r="B16" s="6">
        <v>45777</v>
      </c>
      <c r="C16" s="7" t="s">
        <v>19</v>
      </c>
      <c r="D16" s="8" t="s">
        <v>20</v>
      </c>
      <c r="E16" s="7" t="s">
        <v>21</v>
      </c>
      <c r="F16" s="7" t="s">
        <v>11</v>
      </c>
      <c r="G16" s="26">
        <v>7.29</v>
      </c>
      <c r="H16" s="8" t="s">
        <v>12</v>
      </c>
      <c r="J16" s="62"/>
    </row>
    <row r="17" spans="1:11" ht="17.399999999999999" customHeight="1" x14ac:dyDescent="0.3">
      <c r="A17" s="5">
        <v>1</v>
      </c>
      <c r="B17" s="6">
        <v>45838</v>
      </c>
      <c r="C17" s="7" t="s">
        <v>19</v>
      </c>
      <c r="D17" s="8" t="s">
        <v>20</v>
      </c>
      <c r="E17" s="7" t="s">
        <v>21</v>
      </c>
      <c r="F17" s="7" t="s">
        <v>11</v>
      </c>
      <c r="G17" s="26">
        <v>29.5</v>
      </c>
      <c r="H17" s="8" t="s">
        <v>12</v>
      </c>
      <c r="J17" s="62"/>
      <c r="K17" s="62"/>
    </row>
    <row r="18" spans="1:11" ht="17.399999999999999" customHeight="1" x14ac:dyDescent="0.3">
      <c r="A18" s="5">
        <v>1</v>
      </c>
      <c r="B18" s="6">
        <v>45869</v>
      </c>
      <c r="C18" s="7" t="s">
        <v>19</v>
      </c>
      <c r="D18" s="8" t="s">
        <v>20</v>
      </c>
      <c r="E18" s="7" t="s">
        <v>21</v>
      </c>
      <c r="F18" s="7" t="s">
        <v>11</v>
      </c>
      <c r="G18" s="26">
        <v>7.67</v>
      </c>
      <c r="H18" s="8" t="s">
        <v>12</v>
      </c>
      <c r="J18" s="62"/>
    </row>
    <row r="19" spans="1:11" ht="17.399999999999999" customHeight="1" x14ac:dyDescent="0.3">
      <c r="A19" s="5">
        <v>1</v>
      </c>
      <c r="B19" s="6">
        <v>45900</v>
      </c>
      <c r="C19" s="7" t="s">
        <v>19</v>
      </c>
      <c r="D19" s="8" t="s">
        <v>20</v>
      </c>
      <c r="E19" s="7" t="s">
        <v>21</v>
      </c>
      <c r="F19" s="7" t="s">
        <v>11</v>
      </c>
      <c r="G19" s="26">
        <v>0</v>
      </c>
      <c r="H19" s="8" t="s">
        <v>12</v>
      </c>
      <c r="J19" s="62"/>
    </row>
    <row r="20" spans="1:11" ht="17.399999999999999" customHeight="1" x14ac:dyDescent="0.3">
      <c r="A20" s="5">
        <v>1</v>
      </c>
      <c r="B20" s="6">
        <v>45930</v>
      </c>
      <c r="C20" s="7" t="s">
        <v>19</v>
      </c>
      <c r="D20" s="8" t="s">
        <v>20</v>
      </c>
      <c r="E20" s="7" t="s">
        <v>21</v>
      </c>
      <c r="F20" s="7" t="s">
        <v>11</v>
      </c>
      <c r="G20" s="25">
        <v>0</v>
      </c>
      <c r="H20" s="8" t="s">
        <v>12</v>
      </c>
      <c r="J20" s="62"/>
    </row>
    <row r="21" spans="1:11" ht="17.399999999999999" customHeight="1" x14ac:dyDescent="0.3">
      <c r="A21" s="5">
        <v>1</v>
      </c>
      <c r="B21" s="6">
        <v>45504</v>
      </c>
      <c r="C21" s="7" t="s">
        <v>19</v>
      </c>
      <c r="D21" s="8" t="s">
        <v>22</v>
      </c>
      <c r="E21" s="7" t="s">
        <v>23</v>
      </c>
      <c r="F21" s="7" t="s">
        <v>11</v>
      </c>
      <c r="G21" s="25">
        <v>39.93</v>
      </c>
      <c r="H21" s="8" t="s">
        <v>12</v>
      </c>
      <c r="J21" s="62"/>
    </row>
    <row r="22" spans="1:11" ht="17.399999999999999" customHeight="1" x14ac:dyDescent="0.3">
      <c r="A22" s="5">
        <v>1</v>
      </c>
      <c r="B22" s="6">
        <v>45535</v>
      </c>
      <c r="C22" s="7" t="s">
        <v>19</v>
      </c>
      <c r="D22" s="8" t="s">
        <v>22</v>
      </c>
      <c r="E22" s="7" t="s">
        <v>23</v>
      </c>
      <c r="F22" s="7" t="s">
        <v>11</v>
      </c>
      <c r="G22" s="25">
        <v>96.72</v>
      </c>
      <c r="H22" s="8" t="s">
        <v>12</v>
      </c>
      <c r="J22" s="62"/>
    </row>
    <row r="23" spans="1:11" ht="17.399999999999999" customHeight="1" x14ac:dyDescent="0.3">
      <c r="A23" s="5">
        <v>1</v>
      </c>
      <c r="B23" s="6">
        <v>45565</v>
      </c>
      <c r="C23" s="7" t="s">
        <v>19</v>
      </c>
      <c r="D23" s="8" t="s">
        <v>22</v>
      </c>
      <c r="E23" s="7" t="s">
        <v>23</v>
      </c>
      <c r="F23" s="7" t="s">
        <v>11</v>
      </c>
      <c r="G23" s="25">
        <v>69.989999999999995</v>
      </c>
      <c r="H23" s="8" t="s">
        <v>12</v>
      </c>
      <c r="J23" s="62"/>
    </row>
    <row r="24" spans="1:11" ht="17.399999999999999" customHeight="1" x14ac:dyDescent="0.3">
      <c r="A24" s="5">
        <v>1</v>
      </c>
      <c r="B24" s="6">
        <v>45596</v>
      </c>
      <c r="C24" s="7" t="s">
        <v>19</v>
      </c>
      <c r="D24" s="8" t="s">
        <v>22</v>
      </c>
      <c r="E24" s="7" t="s">
        <v>23</v>
      </c>
      <c r="F24" s="7" t="s">
        <v>11</v>
      </c>
      <c r="G24" s="25">
        <v>84.93</v>
      </c>
      <c r="H24" s="8" t="s">
        <v>12</v>
      </c>
      <c r="J24" s="62"/>
    </row>
    <row r="25" spans="1:11" ht="17.399999999999999" customHeight="1" x14ac:dyDescent="0.3">
      <c r="A25" s="5">
        <v>1</v>
      </c>
      <c r="B25" s="6">
        <v>45626</v>
      </c>
      <c r="C25" s="7" t="s">
        <v>19</v>
      </c>
      <c r="D25" s="8" t="s">
        <v>22</v>
      </c>
      <c r="E25" s="7" t="s">
        <v>23</v>
      </c>
      <c r="F25" s="7" t="s">
        <v>11</v>
      </c>
      <c r="G25" s="25">
        <v>88.85</v>
      </c>
      <c r="H25" s="8" t="s">
        <v>12</v>
      </c>
      <c r="J25" s="62"/>
    </row>
    <row r="26" spans="1:11" ht="17.399999999999999" customHeight="1" x14ac:dyDescent="0.3">
      <c r="A26" s="5">
        <v>1</v>
      </c>
      <c r="B26" s="6">
        <v>45657</v>
      </c>
      <c r="C26" s="7" t="s">
        <v>19</v>
      </c>
      <c r="D26" s="8" t="s">
        <v>22</v>
      </c>
      <c r="E26" s="7" t="s">
        <v>23</v>
      </c>
      <c r="F26" s="7" t="s">
        <v>11</v>
      </c>
      <c r="G26" s="25">
        <v>123.28999999999999</v>
      </c>
      <c r="H26" s="8" t="s">
        <v>12</v>
      </c>
      <c r="J26" s="62"/>
    </row>
    <row r="27" spans="1:11" ht="17.399999999999999" customHeight="1" x14ac:dyDescent="0.3">
      <c r="A27" s="5">
        <v>1</v>
      </c>
      <c r="B27" s="6">
        <v>45688</v>
      </c>
      <c r="C27" s="7" t="s">
        <v>19</v>
      </c>
      <c r="D27" s="8" t="s">
        <v>22</v>
      </c>
      <c r="E27" s="7" t="s">
        <v>23</v>
      </c>
      <c r="F27" s="7" t="s">
        <v>11</v>
      </c>
      <c r="G27" s="26">
        <v>73.739999999999995</v>
      </c>
      <c r="H27" s="8" t="s">
        <v>12</v>
      </c>
      <c r="J27" s="62"/>
    </row>
    <row r="28" spans="1:11" ht="17.399999999999999" customHeight="1" x14ac:dyDescent="0.3">
      <c r="A28" s="5">
        <v>1</v>
      </c>
      <c r="B28" s="6">
        <v>45716</v>
      </c>
      <c r="C28" s="7" t="s">
        <v>19</v>
      </c>
      <c r="D28" s="8" t="s">
        <v>22</v>
      </c>
      <c r="E28" s="7" t="s">
        <v>23</v>
      </c>
      <c r="F28" s="7" t="s">
        <v>11</v>
      </c>
      <c r="G28" s="26">
        <v>23.009999999999998</v>
      </c>
      <c r="H28" s="8" t="s">
        <v>12</v>
      </c>
      <c r="J28" s="62"/>
    </row>
    <row r="29" spans="1:11" ht="17.399999999999999" customHeight="1" x14ac:dyDescent="0.3">
      <c r="A29" s="5">
        <v>1</v>
      </c>
      <c r="B29" s="6">
        <v>45747</v>
      </c>
      <c r="C29" s="7" t="s">
        <v>19</v>
      </c>
      <c r="D29" s="8" t="s">
        <v>22</v>
      </c>
      <c r="E29" s="7" t="s">
        <v>23</v>
      </c>
      <c r="F29" s="7" t="s">
        <v>11</v>
      </c>
      <c r="G29" s="26">
        <v>109.78</v>
      </c>
      <c r="H29" s="8" t="s">
        <v>12</v>
      </c>
      <c r="J29" s="62"/>
    </row>
    <row r="30" spans="1:11" ht="17.399999999999999" customHeight="1" x14ac:dyDescent="0.3">
      <c r="A30" s="5">
        <v>1</v>
      </c>
      <c r="B30" s="6">
        <v>45777</v>
      </c>
      <c r="C30" s="7" t="s">
        <v>19</v>
      </c>
      <c r="D30" s="8" t="s">
        <v>22</v>
      </c>
      <c r="E30" s="7" t="s">
        <v>23</v>
      </c>
      <c r="F30" s="7" t="s">
        <v>11</v>
      </c>
      <c r="G30" s="26">
        <v>215.47</v>
      </c>
      <c r="H30" s="8" t="s">
        <v>12</v>
      </c>
      <c r="J30" s="62"/>
    </row>
    <row r="31" spans="1:11" ht="17.399999999999999" customHeight="1" x14ac:dyDescent="0.3">
      <c r="A31" s="5">
        <v>1</v>
      </c>
      <c r="B31" s="6">
        <v>45808</v>
      </c>
      <c r="C31" s="7" t="s">
        <v>19</v>
      </c>
      <c r="D31" s="8" t="s">
        <v>22</v>
      </c>
      <c r="E31" s="7" t="s">
        <v>23</v>
      </c>
      <c r="F31" s="7" t="s">
        <v>11</v>
      </c>
      <c r="G31" s="26">
        <v>63.94</v>
      </c>
      <c r="H31" s="8" t="s">
        <v>12</v>
      </c>
      <c r="J31" s="62"/>
    </row>
    <row r="32" spans="1:11" ht="17.399999999999999" customHeight="1" x14ac:dyDescent="0.3">
      <c r="A32" s="5">
        <v>1</v>
      </c>
      <c r="B32" s="6">
        <v>45838</v>
      </c>
      <c r="C32" s="7" t="s">
        <v>19</v>
      </c>
      <c r="D32" s="8" t="s">
        <v>22</v>
      </c>
      <c r="E32" s="7" t="s">
        <v>23</v>
      </c>
      <c r="F32" s="7" t="s">
        <v>11</v>
      </c>
      <c r="G32" s="26">
        <v>200.35</v>
      </c>
      <c r="H32" s="8" t="s">
        <v>12</v>
      </c>
      <c r="J32" s="62"/>
    </row>
    <row r="33" spans="1:10" ht="17.399999999999999" customHeight="1" x14ac:dyDescent="0.3">
      <c r="A33" s="5">
        <v>1</v>
      </c>
      <c r="B33" s="6">
        <v>45869</v>
      </c>
      <c r="C33" s="7" t="s">
        <v>19</v>
      </c>
      <c r="D33" s="8" t="s">
        <v>22</v>
      </c>
      <c r="E33" s="7" t="s">
        <v>23</v>
      </c>
      <c r="F33" s="7" t="s">
        <v>11</v>
      </c>
      <c r="G33" s="26">
        <v>73.97999999999999</v>
      </c>
      <c r="H33" s="8" t="s">
        <v>12</v>
      </c>
      <c r="J33" s="62"/>
    </row>
    <row r="34" spans="1:10" ht="17.399999999999999" customHeight="1" x14ac:dyDescent="0.3">
      <c r="A34" s="5">
        <v>1</v>
      </c>
      <c r="B34" s="6">
        <v>45900</v>
      </c>
      <c r="C34" s="7" t="s">
        <v>19</v>
      </c>
      <c r="D34" s="8" t="s">
        <v>22</v>
      </c>
      <c r="E34" s="7" t="s">
        <v>23</v>
      </c>
      <c r="F34" s="7" t="s">
        <v>11</v>
      </c>
      <c r="G34" s="26">
        <v>0</v>
      </c>
      <c r="H34" s="8" t="s">
        <v>12</v>
      </c>
      <c r="J34" s="62"/>
    </row>
    <row r="35" spans="1:10" ht="17.399999999999999" customHeight="1" x14ac:dyDescent="0.3">
      <c r="A35" s="5">
        <v>1</v>
      </c>
      <c r="B35" s="6">
        <v>45930</v>
      </c>
      <c r="C35" s="7" t="s">
        <v>19</v>
      </c>
      <c r="D35" s="8" t="s">
        <v>22</v>
      </c>
      <c r="E35" s="7" t="s">
        <v>23</v>
      </c>
      <c r="F35" s="7" t="s">
        <v>11</v>
      </c>
      <c r="G35" s="25">
        <v>0</v>
      </c>
      <c r="H35" s="8" t="s">
        <v>12</v>
      </c>
      <c r="J35" s="62"/>
    </row>
    <row r="36" spans="1:10" ht="17.399999999999999" customHeight="1" x14ac:dyDescent="0.3">
      <c r="A36" s="34">
        <v>1</v>
      </c>
      <c r="B36" s="50">
        <v>45869</v>
      </c>
      <c r="C36" s="31" t="s">
        <v>50</v>
      </c>
      <c r="D36" s="31" t="s">
        <v>69</v>
      </c>
      <c r="E36" s="31" t="s">
        <v>40</v>
      </c>
      <c r="F36" s="31" t="s">
        <v>11</v>
      </c>
      <c r="G36" s="62">
        <v>1914.6700507614214</v>
      </c>
      <c r="H36" s="33" t="s">
        <v>53</v>
      </c>
      <c r="J36" s="62"/>
    </row>
    <row r="37" spans="1:10" ht="17.399999999999999" customHeight="1" x14ac:dyDescent="0.3">
      <c r="A37" s="5">
        <v>1</v>
      </c>
      <c r="B37" s="6">
        <v>45694</v>
      </c>
      <c r="C37" s="7" t="s">
        <v>8</v>
      </c>
      <c r="D37" s="8" t="s">
        <v>24</v>
      </c>
      <c r="E37" s="7" t="s">
        <v>10</v>
      </c>
      <c r="F37" s="7" t="s">
        <v>11</v>
      </c>
      <c r="G37" s="25">
        <v>298.06</v>
      </c>
      <c r="H37" s="8" t="s">
        <v>12</v>
      </c>
      <c r="J37" s="62"/>
    </row>
    <row r="38" spans="1:10" ht="17.399999999999999" customHeight="1" x14ac:dyDescent="0.3">
      <c r="A38" s="5">
        <v>1</v>
      </c>
      <c r="B38" s="6">
        <v>45875</v>
      </c>
      <c r="C38" s="7" t="s">
        <v>8</v>
      </c>
      <c r="D38" s="8" t="s">
        <v>25</v>
      </c>
      <c r="E38" s="7" t="s">
        <v>10</v>
      </c>
      <c r="F38" s="7" t="s">
        <v>11</v>
      </c>
      <c r="G38" s="25">
        <v>338.05</v>
      </c>
      <c r="H38" s="8" t="s">
        <v>12</v>
      </c>
      <c r="J38" s="62"/>
    </row>
    <row r="39" spans="1:10" ht="17.399999999999999" customHeight="1" x14ac:dyDescent="0.3">
      <c r="A39" s="5">
        <v>1</v>
      </c>
      <c r="B39" s="6">
        <v>45504</v>
      </c>
      <c r="C39" s="7" t="s">
        <v>19</v>
      </c>
      <c r="D39" s="8" t="s">
        <v>26</v>
      </c>
      <c r="E39" s="7" t="s">
        <v>27</v>
      </c>
      <c r="F39" s="7" t="s">
        <v>11</v>
      </c>
      <c r="G39" s="25">
        <v>146.97999999999999</v>
      </c>
      <c r="H39" s="8" t="s">
        <v>12</v>
      </c>
      <c r="J39" s="62"/>
    </row>
    <row r="40" spans="1:10" ht="17.399999999999999" customHeight="1" x14ac:dyDescent="0.3">
      <c r="A40" s="5">
        <v>1</v>
      </c>
      <c r="B40" s="6">
        <v>45535</v>
      </c>
      <c r="C40" s="7" t="s">
        <v>19</v>
      </c>
      <c r="D40" s="8" t="s">
        <v>26</v>
      </c>
      <c r="E40" s="7" t="s">
        <v>27</v>
      </c>
      <c r="F40" s="7" t="s">
        <v>11</v>
      </c>
      <c r="G40" s="25">
        <v>167.96</v>
      </c>
      <c r="H40" s="8" t="s">
        <v>12</v>
      </c>
      <c r="J40" s="62"/>
    </row>
    <row r="41" spans="1:10" ht="17.399999999999999" customHeight="1" x14ac:dyDescent="0.3">
      <c r="A41" s="5">
        <v>1</v>
      </c>
      <c r="B41" s="6">
        <v>45565</v>
      </c>
      <c r="C41" s="7" t="s">
        <v>19</v>
      </c>
      <c r="D41" s="8" t="s">
        <v>26</v>
      </c>
      <c r="E41" s="7" t="s">
        <v>27</v>
      </c>
      <c r="F41" s="7" t="s">
        <v>11</v>
      </c>
      <c r="G41" s="25">
        <v>177.23000000000002</v>
      </c>
      <c r="H41" s="8" t="s">
        <v>12</v>
      </c>
      <c r="J41" s="62"/>
    </row>
    <row r="42" spans="1:10" ht="17.399999999999999" customHeight="1" x14ac:dyDescent="0.3">
      <c r="A42" s="5">
        <v>1</v>
      </c>
      <c r="B42" s="6">
        <v>45596</v>
      </c>
      <c r="C42" s="7" t="s">
        <v>19</v>
      </c>
      <c r="D42" s="8" t="s">
        <v>26</v>
      </c>
      <c r="E42" s="7" t="s">
        <v>27</v>
      </c>
      <c r="F42" s="7" t="s">
        <v>11</v>
      </c>
      <c r="G42" s="25">
        <v>50.86</v>
      </c>
      <c r="H42" s="8" t="s">
        <v>12</v>
      </c>
      <c r="J42" s="62"/>
    </row>
    <row r="43" spans="1:10" ht="17.399999999999999" customHeight="1" x14ac:dyDescent="0.3">
      <c r="A43" s="5">
        <v>1</v>
      </c>
      <c r="B43" s="6">
        <v>45626</v>
      </c>
      <c r="C43" s="7" t="s">
        <v>19</v>
      </c>
      <c r="D43" s="8" t="s">
        <v>26</v>
      </c>
      <c r="E43" s="7" t="s">
        <v>27</v>
      </c>
      <c r="F43" s="7" t="s">
        <v>11</v>
      </c>
      <c r="G43" s="25">
        <v>135.14999999999998</v>
      </c>
      <c r="H43" s="8" t="s">
        <v>12</v>
      </c>
      <c r="J43" s="62"/>
    </row>
    <row r="44" spans="1:10" ht="17.399999999999999" customHeight="1" x14ac:dyDescent="0.3">
      <c r="A44" s="5">
        <v>1</v>
      </c>
      <c r="B44" s="6">
        <v>45657</v>
      </c>
      <c r="C44" s="7" t="s">
        <v>19</v>
      </c>
      <c r="D44" s="8" t="s">
        <v>26</v>
      </c>
      <c r="E44" s="7" t="s">
        <v>27</v>
      </c>
      <c r="F44" s="7" t="s">
        <v>11</v>
      </c>
      <c r="G44" s="25">
        <v>102.53999999999999</v>
      </c>
      <c r="H44" s="8" t="s">
        <v>12</v>
      </c>
      <c r="J44" s="62"/>
    </row>
    <row r="45" spans="1:10" ht="17.399999999999999" customHeight="1" x14ac:dyDescent="0.3">
      <c r="A45" s="12">
        <v>1</v>
      </c>
      <c r="B45" s="6">
        <v>45688</v>
      </c>
      <c r="C45" s="7" t="s">
        <v>19</v>
      </c>
      <c r="D45" s="8" t="s">
        <v>26</v>
      </c>
      <c r="E45" s="7" t="s">
        <v>27</v>
      </c>
      <c r="F45" s="7" t="s">
        <v>11</v>
      </c>
      <c r="G45" s="26">
        <v>111.10999999999999</v>
      </c>
      <c r="H45" s="8" t="s">
        <v>12</v>
      </c>
      <c r="J45" s="62"/>
    </row>
    <row r="46" spans="1:10" ht="17.399999999999999" customHeight="1" x14ac:dyDescent="0.3">
      <c r="A46" s="12">
        <v>1</v>
      </c>
      <c r="B46" s="6">
        <v>45716</v>
      </c>
      <c r="C46" s="7" t="s">
        <v>19</v>
      </c>
      <c r="D46" s="8" t="s">
        <v>26</v>
      </c>
      <c r="E46" s="7" t="s">
        <v>27</v>
      </c>
      <c r="F46" s="7" t="s">
        <v>11</v>
      </c>
      <c r="G46" s="26">
        <v>140.82</v>
      </c>
      <c r="H46" s="8" t="s">
        <v>12</v>
      </c>
      <c r="J46" s="62"/>
    </row>
    <row r="47" spans="1:10" ht="17.399999999999999" customHeight="1" x14ac:dyDescent="0.3">
      <c r="A47" s="12">
        <v>1</v>
      </c>
      <c r="B47" s="6">
        <v>45747</v>
      </c>
      <c r="C47" s="7" t="s">
        <v>19</v>
      </c>
      <c r="D47" s="8" t="s">
        <v>26</v>
      </c>
      <c r="E47" s="7" t="s">
        <v>27</v>
      </c>
      <c r="F47" s="7" t="s">
        <v>11</v>
      </c>
      <c r="G47" s="26">
        <v>146.88999999999999</v>
      </c>
      <c r="H47" s="8" t="s">
        <v>12</v>
      </c>
      <c r="J47" s="62"/>
    </row>
    <row r="48" spans="1:10" ht="17.399999999999999" customHeight="1" x14ac:dyDescent="0.3">
      <c r="A48" s="12">
        <v>1</v>
      </c>
      <c r="B48" s="6">
        <v>45777</v>
      </c>
      <c r="C48" s="7" t="s">
        <v>19</v>
      </c>
      <c r="D48" s="8" t="s">
        <v>26</v>
      </c>
      <c r="E48" s="7" t="s">
        <v>27</v>
      </c>
      <c r="F48" s="7" t="s">
        <v>11</v>
      </c>
      <c r="G48" s="26">
        <v>165.04</v>
      </c>
      <c r="H48" s="8" t="s">
        <v>12</v>
      </c>
      <c r="J48" s="62"/>
    </row>
    <row r="49" spans="1:10" ht="17.399999999999999" customHeight="1" x14ac:dyDescent="0.3">
      <c r="A49" s="12">
        <v>1</v>
      </c>
      <c r="B49" s="6">
        <v>45808</v>
      </c>
      <c r="C49" s="7" t="s">
        <v>19</v>
      </c>
      <c r="D49" s="8" t="s">
        <v>26</v>
      </c>
      <c r="E49" s="7" t="s">
        <v>27</v>
      </c>
      <c r="F49" s="7" t="s">
        <v>11</v>
      </c>
      <c r="G49" s="26">
        <v>169.24999999999997</v>
      </c>
      <c r="H49" s="8" t="s">
        <v>12</v>
      </c>
      <c r="J49" s="62"/>
    </row>
    <row r="50" spans="1:10" ht="17.399999999999999" customHeight="1" x14ac:dyDescent="0.3">
      <c r="A50" s="12">
        <v>1</v>
      </c>
      <c r="B50" s="6">
        <v>45838</v>
      </c>
      <c r="C50" s="7" t="s">
        <v>19</v>
      </c>
      <c r="D50" s="8" t="s">
        <v>26</v>
      </c>
      <c r="E50" s="7" t="s">
        <v>27</v>
      </c>
      <c r="F50" s="7" t="s">
        <v>11</v>
      </c>
      <c r="G50" s="26">
        <v>92.249999999999986</v>
      </c>
      <c r="H50" s="8" t="s">
        <v>12</v>
      </c>
      <c r="J50" s="62"/>
    </row>
    <row r="51" spans="1:10" ht="17.399999999999999" customHeight="1" x14ac:dyDescent="0.3">
      <c r="A51" s="12">
        <v>1</v>
      </c>
      <c r="B51" s="6">
        <v>45869</v>
      </c>
      <c r="C51" s="7" t="s">
        <v>19</v>
      </c>
      <c r="D51" s="8" t="s">
        <v>26</v>
      </c>
      <c r="E51" s="7" t="s">
        <v>27</v>
      </c>
      <c r="F51" s="7" t="s">
        <v>11</v>
      </c>
      <c r="G51" s="26">
        <v>142.59</v>
      </c>
      <c r="H51" s="8" t="s">
        <v>12</v>
      </c>
      <c r="J51" s="62"/>
    </row>
    <row r="52" spans="1:10" ht="17.399999999999999" customHeight="1" x14ac:dyDescent="0.3">
      <c r="A52" s="12">
        <v>1</v>
      </c>
      <c r="B52" s="6">
        <v>45900</v>
      </c>
      <c r="C52" s="7" t="s">
        <v>19</v>
      </c>
      <c r="D52" s="8" t="s">
        <v>26</v>
      </c>
      <c r="E52" s="7" t="s">
        <v>27</v>
      </c>
      <c r="F52" s="7" t="s">
        <v>11</v>
      </c>
      <c r="G52" s="26">
        <v>97.22</v>
      </c>
      <c r="H52" s="8" t="s">
        <v>12</v>
      </c>
      <c r="J52" s="62"/>
    </row>
    <row r="53" spans="1:10" ht="17.399999999999999" customHeight="1" x14ac:dyDescent="0.3">
      <c r="A53" s="5">
        <v>1</v>
      </c>
      <c r="B53" s="6">
        <v>45930</v>
      </c>
      <c r="C53" s="7" t="s">
        <v>19</v>
      </c>
      <c r="D53" s="8" t="s">
        <v>26</v>
      </c>
      <c r="E53" s="7" t="s">
        <v>27</v>
      </c>
      <c r="F53" s="7" t="s">
        <v>11</v>
      </c>
      <c r="G53" s="25">
        <v>0</v>
      </c>
      <c r="H53" s="8" t="s">
        <v>12</v>
      </c>
      <c r="J53" s="62"/>
    </row>
    <row r="54" spans="1:10" ht="17.399999999999999" customHeight="1" x14ac:dyDescent="0.3">
      <c r="A54" s="34">
        <v>1</v>
      </c>
      <c r="B54" s="35">
        <v>44681</v>
      </c>
      <c r="C54" s="31" t="s">
        <v>50</v>
      </c>
      <c r="D54" s="32" t="s">
        <v>62</v>
      </c>
      <c r="E54" s="31" t="s">
        <v>40</v>
      </c>
      <c r="F54" s="31" t="s">
        <v>33</v>
      </c>
      <c r="G54" s="62">
        <v>101.5228426395939</v>
      </c>
      <c r="H54" s="32" t="s">
        <v>53</v>
      </c>
      <c r="J54" s="62"/>
    </row>
    <row r="55" spans="1:10" ht="17.399999999999999" customHeight="1" x14ac:dyDescent="0.3">
      <c r="A55" s="5">
        <v>1</v>
      </c>
      <c r="B55" s="6">
        <v>45504</v>
      </c>
      <c r="C55" s="7" t="s">
        <v>19</v>
      </c>
      <c r="D55" s="8" t="s">
        <v>28</v>
      </c>
      <c r="E55" s="7" t="s">
        <v>29</v>
      </c>
      <c r="F55" s="7" t="s">
        <v>11</v>
      </c>
      <c r="G55" s="25">
        <v>286.69</v>
      </c>
      <c r="H55" s="8" t="s">
        <v>12</v>
      </c>
      <c r="J55" s="62"/>
    </row>
    <row r="56" spans="1:10" ht="17.399999999999999" customHeight="1" x14ac:dyDescent="0.3">
      <c r="A56" s="5">
        <v>1</v>
      </c>
      <c r="B56" s="6">
        <v>45535</v>
      </c>
      <c r="C56" s="7" t="s">
        <v>19</v>
      </c>
      <c r="D56" s="8" t="s">
        <v>28</v>
      </c>
      <c r="E56" s="7" t="s">
        <v>29</v>
      </c>
      <c r="F56" s="7" t="s">
        <v>11</v>
      </c>
      <c r="G56" s="25">
        <v>334.59999999999997</v>
      </c>
      <c r="H56" s="8" t="s">
        <v>12</v>
      </c>
      <c r="J56" s="62"/>
    </row>
    <row r="57" spans="1:10" ht="17.399999999999999" customHeight="1" x14ac:dyDescent="0.3">
      <c r="A57" s="5">
        <v>1</v>
      </c>
      <c r="B57" s="6">
        <v>45565</v>
      </c>
      <c r="C57" s="7" t="s">
        <v>19</v>
      </c>
      <c r="D57" s="8" t="s">
        <v>28</v>
      </c>
      <c r="E57" s="7" t="s">
        <v>29</v>
      </c>
      <c r="F57" s="7" t="s">
        <v>11</v>
      </c>
      <c r="G57" s="25">
        <v>274</v>
      </c>
      <c r="H57" s="8" t="s">
        <v>12</v>
      </c>
      <c r="J57" s="62"/>
    </row>
    <row r="58" spans="1:10" ht="17.399999999999999" customHeight="1" x14ac:dyDescent="0.3">
      <c r="A58" s="5">
        <v>1</v>
      </c>
      <c r="B58" s="6">
        <v>45596</v>
      </c>
      <c r="C58" s="7" t="s">
        <v>19</v>
      </c>
      <c r="D58" s="8" t="s">
        <v>28</v>
      </c>
      <c r="E58" s="7" t="s">
        <v>29</v>
      </c>
      <c r="F58" s="7" t="s">
        <v>11</v>
      </c>
      <c r="G58" s="25">
        <v>274</v>
      </c>
      <c r="H58" s="8" t="s">
        <v>12</v>
      </c>
    </row>
    <row r="59" spans="1:10" ht="17.399999999999999" customHeight="1" x14ac:dyDescent="0.3">
      <c r="A59" s="5">
        <v>1</v>
      </c>
      <c r="B59" s="6">
        <v>45626</v>
      </c>
      <c r="C59" s="7" t="s">
        <v>19</v>
      </c>
      <c r="D59" s="8" t="s">
        <v>28</v>
      </c>
      <c r="E59" s="7" t="s">
        <v>29</v>
      </c>
      <c r="F59" s="7" t="s">
        <v>11</v>
      </c>
      <c r="G59" s="25">
        <v>284.8</v>
      </c>
      <c r="H59" s="8" t="s">
        <v>12</v>
      </c>
    </row>
    <row r="60" spans="1:10" ht="17.399999999999999" customHeight="1" x14ac:dyDescent="0.3">
      <c r="A60" s="5">
        <v>1</v>
      </c>
      <c r="B60" s="6">
        <v>45657</v>
      </c>
      <c r="C60" s="7" t="s">
        <v>19</v>
      </c>
      <c r="D60" s="8" t="s">
        <v>28</v>
      </c>
      <c r="E60" s="7" t="s">
        <v>29</v>
      </c>
      <c r="F60" s="7" t="s">
        <v>11</v>
      </c>
      <c r="G60" s="25">
        <v>274</v>
      </c>
      <c r="H60" s="8" t="s">
        <v>12</v>
      </c>
    </row>
    <row r="61" spans="1:10" ht="17.399999999999999" customHeight="1" x14ac:dyDescent="0.3">
      <c r="A61" s="5">
        <v>1</v>
      </c>
      <c r="B61" s="6">
        <v>45688</v>
      </c>
      <c r="C61" s="7" t="s">
        <v>19</v>
      </c>
      <c r="D61" s="8" t="s">
        <v>28</v>
      </c>
      <c r="E61" s="7" t="s">
        <v>29</v>
      </c>
      <c r="F61" s="7" t="s">
        <v>11</v>
      </c>
      <c r="G61" s="26">
        <v>297.79000000000002</v>
      </c>
      <c r="H61" s="8" t="s">
        <v>12</v>
      </c>
    </row>
    <row r="62" spans="1:10" ht="17.399999999999999" customHeight="1" x14ac:dyDescent="0.3">
      <c r="A62" s="5">
        <v>1</v>
      </c>
      <c r="B62" s="6">
        <v>45716</v>
      </c>
      <c r="C62" s="7" t="s">
        <v>19</v>
      </c>
      <c r="D62" s="8" t="s">
        <v>28</v>
      </c>
      <c r="E62" s="7" t="s">
        <v>29</v>
      </c>
      <c r="F62" s="7" t="s">
        <v>11</v>
      </c>
      <c r="G62" s="26">
        <v>294</v>
      </c>
      <c r="H62" s="8" t="s">
        <v>12</v>
      </c>
    </row>
    <row r="63" spans="1:10" ht="17.399999999999999" customHeight="1" x14ac:dyDescent="0.3">
      <c r="A63" s="5">
        <v>1</v>
      </c>
      <c r="B63" s="6">
        <v>45747</v>
      </c>
      <c r="C63" s="7" t="s">
        <v>19</v>
      </c>
      <c r="D63" s="8" t="s">
        <v>28</v>
      </c>
      <c r="E63" s="7" t="s">
        <v>29</v>
      </c>
      <c r="F63" s="7" t="s">
        <v>11</v>
      </c>
      <c r="G63" s="26">
        <v>283</v>
      </c>
      <c r="H63" s="8" t="s">
        <v>12</v>
      </c>
    </row>
    <row r="64" spans="1:10" ht="17.399999999999999" customHeight="1" x14ac:dyDescent="0.3">
      <c r="A64" s="5">
        <v>1</v>
      </c>
      <c r="B64" s="6">
        <v>45777</v>
      </c>
      <c r="C64" s="7" t="s">
        <v>19</v>
      </c>
      <c r="D64" s="8" t="s">
        <v>28</v>
      </c>
      <c r="E64" s="7" t="s">
        <v>29</v>
      </c>
      <c r="F64" s="7" t="s">
        <v>11</v>
      </c>
      <c r="G64" s="26">
        <v>284</v>
      </c>
      <c r="H64" s="8" t="s">
        <v>12</v>
      </c>
    </row>
    <row r="65" spans="1:8" ht="17.399999999999999" customHeight="1" x14ac:dyDescent="0.3">
      <c r="A65" s="5">
        <v>1</v>
      </c>
      <c r="B65" s="6">
        <v>45808</v>
      </c>
      <c r="C65" s="7" t="s">
        <v>19</v>
      </c>
      <c r="D65" s="8" t="s">
        <v>28</v>
      </c>
      <c r="E65" s="7" t="s">
        <v>29</v>
      </c>
      <c r="F65" s="7" t="s">
        <v>11</v>
      </c>
      <c r="G65" s="26">
        <v>284.67</v>
      </c>
      <c r="H65" s="8" t="s">
        <v>12</v>
      </c>
    </row>
    <row r="66" spans="1:8" ht="17.399999999999999" customHeight="1" x14ac:dyDescent="0.3">
      <c r="A66" s="5">
        <v>1</v>
      </c>
      <c r="B66" s="6">
        <v>45838</v>
      </c>
      <c r="C66" s="7" t="s">
        <v>19</v>
      </c>
      <c r="D66" s="8" t="s">
        <v>28</v>
      </c>
      <c r="E66" s="7" t="s">
        <v>29</v>
      </c>
      <c r="F66" s="7" t="s">
        <v>11</v>
      </c>
      <c r="G66" s="26">
        <v>274</v>
      </c>
      <c r="H66" s="8" t="s">
        <v>12</v>
      </c>
    </row>
    <row r="67" spans="1:8" ht="17.399999999999999" customHeight="1" x14ac:dyDescent="0.3">
      <c r="A67" s="5">
        <v>1</v>
      </c>
      <c r="B67" s="6">
        <v>45869</v>
      </c>
      <c r="C67" s="7" t="s">
        <v>19</v>
      </c>
      <c r="D67" s="8" t="s">
        <v>28</v>
      </c>
      <c r="E67" s="7" t="s">
        <v>29</v>
      </c>
      <c r="F67" s="7" t="s">
        <v>11</v>
      </c>
      <c r="G67" s="26">
        <v>311.03999999999996</v>
      </c>
      <c r="H67" s="8" t="s">
        <v>12</v>
      </c>
    </row>
    <row r="68" spans="1:8" ht="17.399999999999999" customHeight="1" x14ac:dyDescent="0.3">
      <c r="A68" s="5">
        <v>1</v>
      </c>
      <c r="B68" s="6">
        <v>45900</v>
      </c>
      <c r="C68" s="7" t="s">
        <v>19</v>
      </c>
      <c r="D68" s="8" t="s">
        <v>28</v>
      </c>
      <c r="E68" s="7" t="s">
        <v>29</v>
      </c>
      <c r="F68" s="7" t="s">
        <v>11</v>
      </c>
      <c r="G68" s="26">
        <v>277</v>
      </c>
      <c r="H68" s="8" t="s">
        <v>12</v>
      </c>
    </row>
    <row r="69" spans="1:8" ht="17.399999999999999" customHeight="1" x14ac:dyDescent="0.3">
      <c r="A69" s="5">
        <v>1</v>
      </c>
      <c r="B69" s="6">
        <v>45930</v>
      </c>
      <c r="C69" s="7" t="s">
        <v>19</v>
      </c>
      <c r="D69" s="8" t="s">
        <v>28</v>
      </c>
      <c r="E69" s="7" t="s">
        <v>29</v>
      </c>
      <c r="F69" s="7" t="s">
        <v>11</v>
      </c>
      <c r="G69" s="25">
        <v>0</v>
      </c>
      <c r="H69" s="8" t="s">
        <v>12</v>
      </c>
    </row>
    <row r="70" spans="1:8" ht="17.399999999999999" customHeight="1" x14ac:dyDescent="0.3">
      <c r="A70" s="34">
        <v>1</v>
      </c>
      <c r="B70" s="50">
        <v>45443</v>
      </c>
      <c r="C70" s="31" t="s">
        <v>50</v>
      </c>
      <c r="D70" s="31" t="s">
        <v>68</v>
      </c>
      <c r="E70" s="31" t="s">
        <v>40</v>
      </c>
      <c r="F70" s="31" t="s">
        <v>11</v>
      </c>
      <c r="G70" s="62">
        <v>902.94923857868014</v>
      </c>
      <c r="H70" s="33" t="s">
        <v>53</v>
      </c>
    </row>
    <row r="71" spans="1:8" ht="17.399999999999999" customHeight="1" x14ac:dyDescent="0.3">
      <c r="A71" s="34">
        <v>1</v>
      </c>
      <c r="B71" s="50">
        <v>45504</v>
      </c>
      <c r="C71" s="31" t="s">
        <v>50</v>
      </c>
      <c r="D71" s="31" t="s">
        <v>68</v>
      </c>
      <c r="E71" s="31" t="s">
        <v>40</v>
      </c>
      <c r="F71" s="31" t="s">
        <v>11</v>
      </c>
      <c r="G71" s="62">
        <v>1015.2284263959391</v>
      </c>
      <c r="H71" s="33" t="s">
        <v>53</v>
      </c>
    </row>
    <row r="72" spans="1:8" ht="17.399999999999999" customHeight="1" x14ac:dyDescent="0.3">
      <c r="A72" s="34">
        <v>1</v>
      </c>
      <c r="B72" s="50">
        <v>45535</v>
      </c>
      <c r="C72" s="31" t="s">
        <v>50</v>
      </c>
      <c r="D72" s="31" t="s">
        <v>68</v>
      </c>
      <c r="E72" s="31" t="s">
        <v>40</v>
      </c>
      <c r="F72" s="31" t="s">
        <v>11</v>
      </c>
      <c r="G72" s="62">
        <v>859.7715736040609</v>
      </c>
      <c r="H72" s="33" t="s">
        <v>53</v>
      </c>
    </row>
    <row r="73" spans="1:8" ht="17.399999999999999" customHeight="1" x14ac:dyDescent="0.3">
      <c r="A73" s="34">
        <v>1</v>
      </c>
      <c r="B73" s="50">
        <v>44865</v>
      </c>
      <c r="C73" s="31" t="s">
        <v>50</v>
      </c>
      <c r="D73" s="32" t="s">
        <v>64</v>
      </c>
      <c r="E73" s="31" t="s">
        <v>38</v>
      </c>
      <c r="F73" s="31" t="s">
        <v>33</v>
      </c>
      <c r="G73" s="62">
        <v>203.04568527918781</v>
      </c>
      <c r="H73" s="32" t="s">
        <v>53</v>
      </c>
    </row>
    <row r="74" spans="1:8" ht="17.399999999999999" customHeight="1" x14ac:dyDescent="0.3">
      <c r="A74" s="34">
        <v>1</v>
      </c>
      <c r="B74" s="50">
        <v>44895</v>
      </c>
      <c r="C74" s="31" t="s">
        <v>50</v>
      </c>
      <c r="D74" s="32" t="s">
        <v>64</v>
      </c>
      <c r="E74" s="31" t="s">
        <v>38</v>
      </c>
      <c r="F74" s="31" t="s">
        <v>33</v>
      </c>
      <c r="G74" s="62">
        <v>203.04568527918781</v>
      </c>
      <c r="H74" s="32" t="s">
        <v>53</v>
      </c>
    </row>
    <row r="75" spans="1:8" ht="17.399999999999999" customHeight="1" x14ac:dyDescent="0.3">
      <c r="A75" s="34">
        <v>1</v>
      </c>
      <c r="B75" s="50">
        <v>44926</v>
      </c>
      <c r="C75" s="31" t="s">
        <v>50</v>
      </c>
      <c r="D75" s="32" t="s">
        <v>64</v>
      </c>
      <c r="E75" s="31" t="s">
        <v>38</v>
      </c>
      <c r="F75" s="31" t="s">
        <v>33</v>
      </c>
      <c r="G75" s="62">
        <v>152.94416243654823</v>
      </c>
      <c r="H75" s="32" t="s">
        <v>53</v>
      </c>
    </row>
    <row r="76" spans="1:8" ht="17.399999999999999" customHeight="1" x14ac:dyDescent="0.3">
      <c r="A76" s="34">
        <v>1</v>
      </c>
      <c r="B76" s="50">
        <v>44957</v>
      </c>
      <c r="C76" s="31" t="s">
        <v>50</v>
      </c>
      <c r="D76" s="31" t="s">
        <v>64</v>
      </c>
      <c r="E76" s="31" t="s">
        <v>38</v>
      </c>
      <c r="F76" s="31" t="s">
        <v>33</v>
      </c>
      <c r="G76" s="62">
        <v>203.04568527918781</v>
      </c>
      <c r="H76" s="33" t="s">
        <v>53</v>
      </c>
    </row>
    <row r="77" spans="1:8" ht="17.399999999999999" customHeight="1" x14ac:dyDescent="0.3">
      <c r="A77" s="34">
        <v>1</v>
      </c>
      <c r="B77" s="50">
        <v>44984</v>
      </c>
      <c r="C77" s="31" t="s">
        <v>50</v>
      </c>
      <c r="D77" s="31" t="s">
        <v>64</v>
      </c>
      <c r="E77" s="31" t="s">
        <v>38</v>
      </c>
      <c r="F77" s="31" t="s">
        <v>33</v>
      </c>
      <c r="G77" s="62">
        <v>203.04568527918781</v>
      </c>
      <c r="H77" s="33" t="s">
        <v>53</v>
      </c>
    </row>
    <row r="78" spans="1:8" ht="17.399999999999999" customHeight="1" x14ac:dyDescent="0.3">
      <c r="A78" s="34">
        <v>1</v>
      </c>
      <c r="B78" s="50">
        <v>45016</v>
      </c>
      <c r="C78" s="31" t="s">
        <v>50</v>
      </c>
      <c r="D78" s="31" t="s">
        <v>64</v>
      </c>
      <c r="E78" s="31" t="s">
        <v>38</v>
      </c>
      <c r="F78" s="31" t="s">
        <v>33</v>
      </c>
      <c r="G78" s="62">
        <v>203.04568527918781</v>
      </c>
      <c r="H78" s="33" t="s">
        <v>53</v>
      </c>
    </row>
    <row r="79" spans="1:8" ht="17.399999999999999" customHeight="1" x14ac:dyDescent="0.3">
      <c r="A79" s="34">
        <v>1</v>
      </c>
      <c r="B79" s="35">
        <v>45046</v>
      </c>
      <c r="C79" s="31" t="s">
        <v>50</v>
      </c>
      <c r="D79" s="31" t="s">
        <v>64</v>
      </c>
      <c r="E79" s="31" t="s">
        <v>38</v>
      </c>
      <c r="F79" s="31" t="s">
        <v>33</v>
      </c>
      <c r="G79" s="62">
        <v>355.32994923857871</v>
      </c>
      <c r="H79" s="33" t="s">
        <v>53</v>
      </c>
    </row>
    <row r="80" spans="1:8" ht="17.399999999999999" customHeight="1" x14ac:dyDescent="0.3">
      <c r="A80" s="34">
        <v>1</v>
      </c>
      <c r="B80" s="50">
        <v>45077</v>
      </c>
      <c r="C80" s="31" t="s">
        <v>50</v>
      </c>
      <c r="D80" s="31" t="s">
        <v>64</v>
      </c>
      <c r="E80" s="31" t="s">
        <v>38</v>
      </c>
      <c r="F80" s="31" t="s">
        <v>33</v>
      </c>
      <c r="G80" s="62">
        <v>355.32994923857871</v>
      </c>
      <c r="H80" s="33" t="s">
        <v>53</v>
      </c>
    </row>
    <row r="81" spans="1:8" ht="17.399999999999999" customHeight="1" x14ac:dyDescent="0.3">
      <c r="A81" s="34">
        <v>1</v>
      </c>
      <c r="B81" s="50">
        <v>45107</v>
      </c>
      <c r="C81" s="31" t="s">
        <v>50</v>
      </c>
      <c r="D81" s="31" t="s">
        <v>64</v>
      </c>
      <c r="E81" s="31" t="s">
        <v>38</v>
      </c>
      <c r="F81" s="31" t="s">
        <v>33</v>
      </c>
      <c r="G81" s="62">
        <v>355.32994923857871</v>
      </c>
      <c r="H81" s="33" t="s">
        <v>53</v>
      </c>
    </row>
    <row r="82" spans="1:8" ht="17.399999999999999" customHeight="1" x14ac:dyDescent="0.3">
      <c r="A82" s="34">
        <v>1</v>
      </c>
      <c r="B82" s="50">
        <v>45138</v>
      </c>
      <c r="C82" s="31" t="s">
        <v>50</v>
      </c>
      <c r="D82" s="31" t="s">
        <v>64</v>
      </c>
      <c r="E82" s="31" t="s">
        <v>38</v>
      </c>
      <c r="F82" s="31" t="s">
        <v>33</v>
      </c>
      <c r="G82" s="62">
        <v>355.32994923857871</v>
      </c>
      <c r="H82" s="33" t="s">
        <v>53</v>
      </c>
    </row>
    <row r="83" spans="1:8" ht="17.399999999999999" customHeight="1" x14ac:dyDescent="0.3">
      <c r="A83" s="34">
        <v>1</v>
      </c>
      <c r="B83" s="50">
        <v>45169</v>
      </c>
      <c r="C83" s="31" t="s">
        <v>50</v>
      </c>
      <c r="D83" s="31" t="s">
        <v>64</v>
      </c>
      <c r="E83" s="31" t="s">
        <v>38</v>
      </c>
      <c r="F83" s="31" t="s">
        <v>33</v>
      </c>
      <c r="G83" s="62">
        <v>355.32994923857871</v>
      </c>
      <c r="H83" s="33" t="s">
        <v>53</v>
      </c>
    </row>
    <row r="84" spans="1:8" ht="17.399999999999999" customHeight="1" x14ac:dyDescent="0.3">
      <c r="A84" s="34">
        <v>1</v>
      </c>
      <c r="B84" s="50">
        <v>45199</v>
      </c>
      <c r="C84" s="31" t="s">
        <v>50</v>
      </c>
      <c r="D84" s="31" t="s">
        <v>64</v>
      </c>
      <c r="E84" s="31" t="s">
        <v>38</v>
      </c>
      <c r="F84" s="31" t="s">
        <v>33</v>
      </c>
      <c r="G84" s="62">
        <v>355.32994923857871</v>
      </c>
      <c r="H84" s="33" t="s">
        <v>53</v>
      </c>
    </row>
    <row r="85" spans="1:8" ht="17.399999999999999" customHeight="1" x14ac:dyDescent="0.3">
      <c r="A85" s="34">
        <v>1</v>
      </c>
      <c r="B85" s="50">
        <v>45230</v>
      </c>
      <c r="C85" s="31" t="s">
        <v>50</v>
      </c>
      <c r="D85" s="31" t="s">
        <v>64</v>
      </c>
      <c r="E85" s="31" t="s">
        <v>38</v>
      </c>
      <c r="F85" s="31" t="s">
        <v>33</v>
      </c>
      <c r="G85" s="62">
        <v>609.13705583756348</v>
      </c>
      <c r="H85" s="33" t="s">
        <v>53</v>
      </c>
    </row>
    <row r="86" spans="1:8" ht="17.399999999999999" customHeight="1" x14ac:dyDescent="0.3">
      <c r="A86" s="34">
        <v>1</v>
      </c>
      <c r="B86" s="50">
        <v>45260</v>
      </c>
      <c r="C86" s="31" t="s">
        <v>50</v>
      </c>
      <c r="D86" s="31" t="s">
        <v>64</v>
      </c>
      <c r="E86" s="31" t="s">
        <v>38</v>
      </c>
      <c r="F86" s="31" t="s">
        <v>33</v>
      </c>
      <c r="G86" s="62">
        <v>609.13705583756348</v>
      </c>
      <c r="H86" s="33" t="s">
        <v>53</v>
      </c>
    </row>
    <row r="87" spans="1:8" ht="17.399999999999999" customHeight="1" x14ac:dyDescent="0.3">
      <c r="A87" s="34">
        <v>1</v>
      </c>
      <c r="B87" s="50">
        <v>45291</v>
      </c>
      <c r="C87" s="31" t="s">
        <v>50</v>
      </c>
      <c r="D87" s="31" t="s">
        <v>64</v>
      </c>
      <c r="E87" s="31" t="s">
        <v>38</v>
      </c>
      <c r="F87" s="31" t="s">
        <v>33</v>
      </c>
      <c r="G87" s="62">
        <v>609.13705583756348</v>
      </c>
      <c r="H87" s="33" t="s">
        <v>53</v>
      </c>
    </row>
    <row r="88" spans="1:8" ht="17.399999999999999" customHeight="1" x14ac:dyDescent="0.3">
      <c r="A88" s="34">
        <v>1</v>
      </c>
      <c r="B88" s="50">
        <v>45322</v>
      </c>
      <c r="C88" s="31" t="s">
        <v>50</v>
      </c>
      <c r="D88" s="31" t="s">
        <v>64</v>
      </c>
      <c r="E88" s="31" t="s">
        <v>38</v>
      </c>
      <c r="F88" s="31" t="s">
        <v>33</v>
      </c>
      <c r="G88" s="62">
        <v>1005.0761421319797</v>
      </c>
      <c r="H88" s="33" t="s">
        <v>53</v>
      </c>
    </row>
    <row r="89" spans="1:8" ht="17.399999999999999" customHeight="1" x14ac:dyDescent="0.3">
      <c r="A89" s="34">
        <v>1</v>
      </c>
      <c r="B89" s="50">
        <v>45350</v>
      </c>
      <c r="C89" s="31" t="s">
        <v>50</v>
      </c>
      <c r="D89" s="31" t="s">
        <v>64</v>
      </c>
      <c r="E89" s="31" t="s">
        <v>38</v>
      </c>
      <c r="F89" s="31" t="s">
        <v>33</v>
      </c>
      <c r="G89" s="62">
        <v>1005.0761421319797</v>
      </c>
      <c r="H89" s="33" t="s">
        <v>53</v>
      </c>
    </row>
    <row r="90" spans="1:8" ht="17.399999999999999" customHeight="1" x14ac:dyDescent="0.3">
      <c r="A90" s="34">
        <v>1</v>
      </c>
      <c r="B90" s="50">
        <v>45382</v>
      </c>
      <c r="C90" s="31" t="s">
        <v>50</v>
      </c>
      <c r="D90" s="31" t="s">
        <v>64</v>
      </c>
      <c r="E90" s="31" t="s">
        <v>38</v>
      </c>
      <c r="F90" s="31" t="s">
        <v>33</v>
      </c>
      <c r="G90" s="62">
        <v>1005.0761421319797</v>
      </c>
      <c r="H90" s="33" t="s">
        <v>53</v>
      </c>
    </row>
    <row r="91" spans="1:8" ht="17.399999999999999" customHeight="1" x14ac:dyDescent="0.3">
      <c r="A91" s="34">
        <v>1</v>
      </c>
      <c r="B91" s="35">
        <v>45443</v>
      </c>
      <c r="C91" s="31" t="s">
        <v>50</v>
      </c>
      <c r="D91" s="31" t="s">
        <v>64</v>
      </c>
      <c r="E91" s="31" t="s">
        <v>38</v>
      </c>
      <c r="F91" s="31" t="s">
        <v>33</v>
      </c>
      <c r="G91" s="62">
        <v>1005.0761421319797</v>
      </c>
      <c r="H91" s="33" t="s">
        <v>53</v>
      </c>
    </row>
    <row r="92" spans="1:8" ht="17.399999999999999" customHeight="1" x14ac:dyDescent="0.3">
      <c r="A92" s="34">
        <v>1</v>
      </c>
      <c r="B92" s="35">
        <v>45473</v>
      </c>
      <c r="C92" s="31" t="s">
        <v>50</v>
      </c>
      <c r="D92" s="31" t="s">
        <v>64</v>
      </c>
      <c r="E92" s="31" t="s">
        <v>38</v>
      </c>
      <c r="F92" s="31" t="s">
        <v>33</v>
      </c>
      <c r="G92" s="62">
        <v>1005.0761421319797</v>
      </c>
      <c r="H92" s="33" t="s">
        <v>53</v>
      </c>
    </row>
    <row r="93" spans="1:8" ht="17.399999999999999" customHeight="1" x14ac:dyDescent="0.3">
      <c r="A93" s="34">
        <v>1</v>
      </c>
      <c r="B93" s="50">
        <v>45504</v>
      </c>
      <c r="C93" s="31" t="s">
        <v>50</v>
      </c>
      <c r="D93" s="31" t="s">
        <v>64</v>
      </c>
      <c r="E93" s="31" t="s">
        <v>38</v>
      </c>
      <c r="F93" s="31" t="s">
        <v>33</v>
      </c>
      <c r="G93" s="62">
        <v>1005.0761421319797</v>
      </c>
      <c r="H93" s="33" t="s">
        <v>53</v>
      </c>
    </row>
    <row r="94" spans="1:8" ht="17.399999999999999" customHeight="1" x14ac:dyDescent="0.3">
      <c r="A94" s="34">
        <v>1</v>
      </c>
      <c r="B94" s="50">
        <v>45535</v>
      </c>
      <c r="C94" s="31" t="s">
        <v>50</v>
      </c>
      <c r="D94" s="31" t="s">
        <v>64</v>
      </c>
      <c r="E94" s="31" t="s">
        <v>38</v>
      </c>
      <c r="F94" s="31" t="s">
        <v>33</v>
      </c>
      <c r="G94" s="62">
        <v>609.13705583756348</v>
      </c>
      <c r="H94" s="33" t="s">
        <v>53</v>
      </c>
    </row>
    <row r="95" spans="1:8" ht="17.399999999999999" customHeight="1" x14ac:dyDescent="0.3">
      <c r="A95" s="34">
        <v>1</v>
      </c>
      <c r="B95" s="35">
        <v>45565</v>
      </c>
      <c r="C95" s="31" t="s">
        <v>50</v>
      </c>
      <c r="D95" s="31" t="s">
        <v>64</v>
      </c>
      <c r="E95" s="31" t="s">
        <v>38</v>
      </c>
      <c r="F95" s="31" t="s">
        <v>33</v>
      </c>
      <c r="G95" s="62">
        <v>609.13705583756348</v>
      </c>
      <c r="H95" s="33" t="s">
        <v>53</v>
      </c>
    </row>
    <row r="96" spans="1:8" ht="17.399999999999999" customHeight="1" x14ac:dyDescent="0.3">
      <c r="A96" s="34">
        <v>1</v>
      </c>
      <c r="B96" s="35">
        <v>45596</v>
      </c>
      <c r="C96" s="31" t="s">
        <v>50</v>
      </c>
      <c r="D96" s="31" t="s">
        <v>64</v>
      </c>
      <c r="E96" s="31" t="s">
        <v>38</v>
      </c>
      <c r="F96" s="31" t="s">
        <v>33</v>
      </c>
      <c r="G96" s="62">
        <v>609.13705583756348</v>
      </c>
      <c r="H96" s="33" t="s">
        <v>53</v>
      </c>
    </row>
    <row r="97" spans="1:8" ht="17.399999999999999" customHeight="1" x14ac:dyDescent="0.3">
      <c r="A97" s="34">
        <v>1</v>
      </c>
      <c r="B97" s="35">
        <v>45626</v>
      </c>
      <c r="C97" s="31" t="s">
        <v>50</v>
      </c>
      <c r="D97" s="31" t="s">
        <v>64</v>
      </c>
      <c r="E97" s="31" t="s">
        <v>38</v>
      </c>
      <c r="F97" s="31" t="s">
        <v>33</v>
      </c>
      <c r="G97" s="62">
        <v>609.13705583756348</v>
      </c>
      <c r="H97" s="33" t="s">
        <v>53</v>
      </c>
    </row>
    <row r="98" spans="1:8" ht="17.399999999999999" customHeight="1" x14ac:dyDescent="0.3">
      <c r="A98" s="34">
        <v>1</v>
      </c>
      <c r="B98" s="35">
        <v>45657</v>
      </c>
      <c r="C98" s="31" t="s">
        <v>50</v>
      </c>
      <c r="D98" s="31" t="s">
        <v>64</v>
      </c>
      <c r="E98" s="31" t="s">
        <v>38</v>
      </c>
      <c r="F98" s="31" t="s">
        <v>33</v>
      </c>
      <c r="G98" s="62">
        <v>609.13705583756348</v>
      </c>
      <c r="H98" s="33" t="s">
        <v>53</v>
      </c>
    </row>
    <row r="99" spans="1:8" ht="17.399999999999999" customHeight="1" x14ac:dyDescent="0.3">
      <c r="A99" s="34">
        <v>1</v>
      </c>
      <c r="B99" s="50">
        <v>45688</v>
      </c>
      <c r="C99" s="31" t="s">
        <v>50</v>
      </c>
      <c r="D99" s="31" t="s">
        <v>64</v>
      </c>
      <c r="E99" s="31" t="s">
        <v>38</v>
      </c>
      <c r="F99" s="31" t="s">
        <v>33</v>
      </c>
      <c r="G99" s="62">
        <v>609.13705583756348</v>
      </c>
      <c r="H99" s="33" t="s">
        <v>53</v>
      </c>
    </row>
    <row r="100" spans="1:8" ht="17.399999999999999" customHeight="1" x14ac:dyDescent="0.3">
      <c r="A100" s="34">
        <v>1</v>
      </c>
      <c r="B100" s="50">
        <v>45716</v>
      </c>
      <c r="C100" s="31" t="s">
        <v>50</v>
      </c>
      <c r="D100" s="31" t="s">
        <v>64</v>
      </c>
      <c r="E100" s="31" t="s">
        <v>38</v>
      </c>
      <c r="F100" s="31" t="s">
        <v>33</v>
      </c>
      <c r="G100" s="62">
        <v>609.13705583756348</v>
      </c>
      <c r="H100" s="33" t="s">
        <v>53</v>
      </c>
    </row>
    <row r="101" spans="1:8" ht="17.399999999999999" customHeight="1" x14ac:dyDescent="0.3">
      <c r="A101" s="34">
        <v>1</v>
      </c>
      <c r="B101" s="50">
        <v>45777</v>
      </c>
      <c r="C101" s="31" t="s">
        <v>50</v>
      </c>
      <c r="D101" s="31" t="s">
        <v>64</v>
      </c>
      <c r="E101" s="31" t="s">
        <v>38</v>
      </c>
      <c r="F101" s="31" t="s">
        <v>33</v>
      </c>
      <c r="G101" s="62">
        <v>1005.0761421319797</v>
      </c>
      <c r="H101" s="33" t="s">
        <v>53</v>
      </c>
    </row>
    <row r="102" spans="1:8" ht="17.399999999999999" customHeight="1" x14ac:dyDescent="0.3">
      <c r="A102" s="5">
        <v>1</v>
      </c>
      <c r="B102" s="6">
        <v>45504</v>
      </c>
      <c r="C102" s="7" t="s">
        <v>19</v>
      </c>
      <c r="D102" s="8" t="s">
        <v>30</v>
      </c>
      <c r="E102" s="7" t="s">
        <v>31</v>
      </c>
      <c r="F102" s="7" t="s">
        <v>11</v>
      </c>
      <c r="G102" s="25">
        <v>50</v>
      </c>
      <c r="H102" s="8" t="s">
        <v>12</v>
      </c>
    </row>
    <row r="103" spans="1:8" ht="17.399999999999999" customHeight="1" x14ac:dyDescent="0.3">
      <c r="A103" s="5">
        <v>1</v>
      </c>
      <c r="B103" s="6">
        <v>45535</v>
      </c>
      <c r="C103" s="7" t="s">
        <v>19</v>
      </c>
      <c r="D103" s="8" t="s">
        <v>30</v>
      </c>
      <c r="E103" s="7" t="s">
        <v>31</v>
      </c>
      <c r="F103" s="7" t="s">
        <v>11</v>
      </c>
      <c r="G103" s="25">
        <v>66</v>
      </c>
      <c r="H103" s="8" t="s">
        <v>12</v>
      </c>
    </row>
    <row r="104" spans="1:8" ht="17.399999999999999" customHeight="1" x14ac:dyDescent="0.3">
      <c r="A104" s="5">
        <v>1</v>
      </c>
      <c r="B104" s="6">
        <v>45565</v>
      </c>
      <c r="C104" s="7" t="s">
        <v>19</v>
      </c>
      <c r="D104" s="8" t="s">
        <v>30</v>
      </c>
      <c r="E104" s="7" t="s">
        <v>31</v>
      </c>
      <c r="F104" s="7" t="s">
        <v>11</v>
      </c>
      <c r="G104" s="25">
        <v>91.06</v>
      </c>
      <c r="H104" s="8" t="s">
        <v>12</v>
      </c>
    </row>
    <row r="105" spans="1:8" ht="17.399999999999999" customHeight="1" x14ac:dyDescent="0.3">
      <c r="A105" s="5">
        <v>1</v>
      </c>
      <c r="B105" s="6">
        <v>45596</v>
      </c>
      <c r="C105" s="7" t="s">
        <v>19</v>
      </c>
      <c r="D105" s="8" t="s">
        <v>30</v>
      </c>
      <c r="E105" s="7" t="s">
        <v>31</v>
      </c>
      <c r="F105" s="7" t="s">
        <v>11</v>
      </c>
      <c r="G105" s="25">
        <v>45</v>
      </c>
      <c r="H105" s="8" t="s">
        <v>12</v>
      </c>
    </row>
    <row r="106" spans="1:8" ht="17.399999999999999" customHeight="1" x14ac:dyDescent="0.3">
      <c r="A106" s="5">
        <v>1</v>
      </c>
      <c r="B106" s="6">
        <v>45626</v>
      </c>
      <c r="C106" s="7" t="s">
        <v>19</v>
      </c>
      <c r="D106" s="8" t="s">
        <v>30</v>
      </c>
      <c r="E106" s="7" t="s">
        <v>31</v>
      </c>
      <c r="F106" s="7" t="s">
        <v>11</v>
      </c>
      <c r="G106" s="25">
        <v>40.76</v>
      </c>
      <c r="H106" s="8" t="s">
        <v>12</v>
      </c>
    </row>
    <row r="107" spans="1:8" ht="17.399999999999999" customHeight="1" x14ac:dyDescent="0.3">
      <c r="A107" s="5">
        <v>1</v>
      </c>
      <c r="B107" s="6">
        <v>45657</v>
      </c>
      <c r="C107" s="7" t="s">
        <v>19</v>
      </c>
      <c r="D107" s="8" t="s">
        <v>30</v>
      </c>
      <c r="E107" s="7" t="s">
        <v>31</v>
      </c>
      <c r="F107" s="7" t="s">
        <v>11</v>
      </c>
      <c r="G107" s="25">
        <v>40</v>
      </c>
      <c r="H107" s="8" t="s">
        <v>12</v>
      </c>
    </row>
    <row r="108" spans="1:8" ht="17.399999999999999" customHeight="1" x14ac:dyDescent="0.3">
      <c r="A108" s="5">
        <v>1</v>
      </c>
      <c r="B108" s="6">
        <v>45688</v>
      </c>
      <c r="C108" s="7" t="s">
        <v>19</v>
      </c>
      <c r="D108" s="8" t="s">
        <v>30</v>
      </c>
      <c r="E108" s="7" t="s">
        <v>31</v>
      </c>
      <c r="F108" s="7" t="s">
        <v>11</v>
      </c>
      <c r="G108" s="26">
        <v>70</v>
      </c>
      <c r="H108" s="8" t="s">
        <v>12</v>
      </c>
    </row>
    <row r="109" spans="1:8" ht="17.399999999999999" customHeight="1" x14ac:dyDescent="0.3">
      <c r="A109" s="5">
        <v>1</v>
      </c>
      <c r="B109" s="6">
        <v>45716</v>
      </c>
      <c r="C109" s="7" t="s">
        <v>19</v>
      </c>
      <c r="D109" s="8" t="s">
        <v>30</v>
      </c>
      <c r="E109" s="7" t="s">
        <v>31</v>
      </c>
      <c r="F109" s="7" t="s">
        <v>11</v>
      </c>
      <c r="G109" s="26">
        <v>81.91</v>
      </c>
      <c r="H109" s="8" t="s">
        <v>12</v>
      </c>
    </row>
    <row r="110" spans="1:8" ht="17.399999999999999" customHeight="1" x14ac:dyDescent="0.3">
      <c r="A110" s="5">
        <v>1</v>
      </c>
      <c r="B110" s="6">
        <v>45777</v>
      </c>
      <c r="C110" s="7" t="s">
        <v>19</v>
      </c>
      <c r="D110" s="8" t="s">
        <v>30</v>
      </c>
      <c r="E110" s="7" t="s">
        <v>31</v>
      </c>
      <c r="F110" s="7" t="s">
        <v>11</v>
      </c>
      <c r="G110" s="26">
        <v>60</v>
      </c>
      <c r="H110" s="8" t="s">
        <v>12</v>
      </c>
    </row>
    <row r="111" spans="1:8" ht="17.399999999999999" customHeight="1" x14ac:dyDescent="0.3">
      <c r="A111" s="5">
        <v>1</v>
      </c>
      <c r="B111" s="6">
        <v>45808</v>
      </c>
      <c r="C111" s="7" t="s">
        <v>19</v>
      </c>
      <c r="D111" s="8" t="s">
        <v>30</v>
      </c>
      <c r="E111" s="7" t="s">
        <v>31</v>
      </c>
      <c r="F111" s="7" t="s">
        <v>11</v>
      </c>
      <c r="G111" s="26">
        <v>70</v>
      </c>
      <c r="H111" s="8" t="s">
        <v>12</v>
      </c>
    </row>
    <row r="112" spans="1:8" ht="17.399999999999999" customHeight="1" x14ac:dyDescent="0.3">
      <c r="A112" s="5">
        <v>1</v>
      </c>
      <c r="B112" s="6">
        <v>45869</v>
      </c>
      <c r="C112" s="7" t="s">
        <v>19</v>
      </c>
      <c r="D112" s="8" t="s">
        <v>30</v>
      </c>
      <c r="E112" s="7" t="s">
        <v>31</v>
      </c>
      <c r="F112" s="7" t="s">
        <v>11</v>
      </c>
      <c r="G112" s="26">
        <v>60</v>
      </c>
      <c r="H112" s="8" t="s">
        <v>12</v>
      </c>
    </row>
    <row r="113" spans="1:8" ht="17.399999999999999" customHeight="1" x14ac:dyDescent="0.3">
      <c r="A113" s="5">
        <v>1</v>
      </c>
      <c r="B113" s="6">
        <v>45900</v>
      </c>
      <c r="C113" s="7" t="s">
        <v>19</v>
      </c>
      <c r="D113" s="8" t="s">
        <v>30</v>
      </c>
      <c r="E113" s="7" t="s">
        <v>31</v>
      </c>
      <c r="F113" s="7" t="s">
        <v>11</v>
      </c>
      <c r="G113" s="26">
        <v>20</v>
      </c>
      <c r="H113" s="8" t="s">
        <v>12</v>
      </c>
    </row>
    <row r="114" spans="1:8" ht="17.399999999999999" customHeight="1" x14ac:dyDescent="0.3">
      <c r="A114" s="5">
        <v>1</v>
      </c>
      <c r="B114" s="6">
        <v>45930</v>
      </c>
      <c r="C114" s="7" t="s">
        <v>19</v>
      </c>
      <c r="D114" s="8" t="s">
        <v>30</v>
      </c>
      <c r="E114" s="7" t="s">
        <v>31</v>
      </c>
      <c r="F114" s="7" t="s">
        <v>11</v>
      </c>
      <c r="G114" s="25">
        <v>0</v>
      </c>
      <c r="H114" s="8" t="s">
        <v>12</v>
      </c>
    </row>
    <row r="115" spans="1:8" ht="17.399999999999999" customHeight="1" x14ac:dyDescent="0.3">
      <c r="A115" s="5">
        <v>1</v>
      </c>
      <c r="B115" s="6">
        <v>45402</v>
      </c>
      <c r="C115" s="7" t="s">
        <v>8</v>
      </c>
      <c r="D115" s="8" t="s">
        <v>32</v>
      </c>
      <c r="E115" s="7" t="s">
        <v>10</v>
      </c>
      <c r="F115" s="7" t="s">
        <v>33</v>
      </c>
      <c r="G115" s="25">
        <v>58.48</v>
      </c>
      <c r="H115" s="8" t="s">
        <v>12</v>
      </c>
    </row>
    <row r="116" spans="1:8" ht="17.399999999999999" customHeight="1" x14ac:dyDescent="0.3">
      <c r="A116" s="5">
        <v>1</v>
      </c>
      <c r="B116" s="6">
        <v>45418</v>
      </c>
      <c r="C116" s="7" t="s">
        <v>8</v>
      </c>
      <c r="D116" s="8" t="s">
        <v>32</v>
      </c>
      <c r="E116" s="7" t="s">
        <v>10</v>
      </c>
      <c r="F116" s="7" t="s">
        <v>33</v>
      </c>
      <c r="G116" s="25">
        <v>360.94</v>
      </c>
      <c r="H116" s="8" t="s">
        <v>12</v>
      </c>
    </row>
    <row r="117" spans="1:8" ht="17.399999999999999" customHeight="1" x14ac:dyDescent="0.3">
      <c r="A117" s="5">
        <v>1</v>
      </c>
      <c r="B117" s="6">
        <v>45419</v>
      </c>
      <c r="C117" s="7" t="s">
        <v>8</v>
      </c>
      <c r="D117" s="8" t="s">
        <v>32</v>
      </c>
      <c r="E117" s="7" t="s">
        <v>10</v>
      </c>
      <c r="F117" s="7" t="s">
        <v>33</v>
      </c>
      <c r="G117" s="25">
        <v>530.36</v>
      </c>
      <c r="H117" s="8" t="s">
        <v>12</v>
      </c>
    </row>
    <row r="118" spans="1:8" ht="17.399999999999999" customHeight="1" x14ac:dyDescent="0.3">
      <c r="A118" s="5">
        <v>1</v>
      </c>
      <c r="B118" s="6">
        <v>45450</v>
      </c>
      <c r="C118" s="7" t="s">
        <v>8</v>
      </c>
      <c r="D118" s="8" t="s">
        <v>32</v>
      </c>
      <c r="E118" s="7" t="s">
        <v>10</v>
      </c>
      <c r="F118" s="7" t="s">
        <v>33</v>
      </c>
      <c r="G118" s="25">
        <v>340.23</v>
      </c>
      <c r="H118" s="8" t="s">
        <v>12</v>
      </c>
    </row>
    <row r="119" spans="1:8" ht="17.399999999999999" customHeight="1" x14ac:dyDescent="0.3">
      <c r="A119" s="5">
        <v>1</v>
      </c>
      <c r="B119" s="6">
        <v>45454</v>
      </c>
      <c r="C119" s="7" t="s">
        <v>8</v>
      </c>
      <c r="D119" s="8" t="s">
        <v>32</v>
      </c>
      <c r="E119" s="7" t="s">
        <v>10</v>
      </c>
      <c r="F119" s="7" t="s">
        <v>33</v>
      </c>
      <c r="G119" s="25">
        <v>343.05</v>
      </c>
      <c r="H119" s="8" t="s">
        <v>12</v>
      </c>
    </row>
    <row r="120" spans="1:8" ht="17.399999999999999" customHeight="1" x14ac:dyDescent="0.3">
      <c r="A120" s="5">
        <v>1</v>
      </c>
      <c r="B120" s="6">
        <v>45459</v>
      </c>
      <c r="C120" s="7" t="s">
        <v>8</v>
      </c>
      <c r="D120" s="8" t="s">
        <v>32</v>
      </c>
      <c r="E120" s="7" t="s">
        <v>10</v>
      </c>
      <c r="F120" s="7" t="s">
        <v>33</v>
      </c>
      <c r="G120" s="25">
        <v>170.79</v>
      </c>
      <c r="H120" s="8" t="s">
        <v>12</v>
      </c>
    </row>
    <row r="121" spans="1:8" ht="17.399999999999999" customHeight="1" x14ac:dyDescent="0.3">
      <c r="A121" s="5">
        <v>1</v>
      </c>
      <c r="B121" s="6">
        <v>45460</v>
      </c>
      <c r="C121" s="7" t="s">
        <v>8</v>
      </c>
      <c r="D121" s="8" t="s">
        <v>32</v>
      </c>
      <c r="E121" s="7" t="s">
        <v>10</v>
      </c>
      <c r="F121" s="7" t="s">
        <v>33</v>
      </c>
      <c r="G121" s="25">
        <v>168.91</v>
      </c>
      <c r="H121" s="8" t="s">
        <v>12</v>
      </c>
    </row>
    <row r="122" spans="1:8" ht="17.399999999999999" customHeight="1" x14ac:dyDescent="0.3">
      <c r="A122" s="5">
        <v>1</v>
      </c>
      <c r="B122" s="6">
        <v>45462</v>
      </c>
      <c r="C122" s="7" t="s">
        <v>8</v>
      </c>
      <c r="D122" s="8" t="s">
        <v>32</v>
      </c>
      <c r="E122" s="7" t="s">
        <v>10</v>
      </c>
      <c r="F122" s="7" t="s">
        <v>33</v>
      </c>
      <c r="G122" s="25">
        <v>168.64</v>
      </c>
      <c r="H122" s="8" t="s">
        <v>12</v>
      </c>
    </row>
    <row r="123" spans="1:8" ht="17.399999999999999" customHeight="1" x14ac:dyDescent="0.3">
      <c r="A123" s="5">
        <v>1</v>
      </c>
      <c r="B123" s="6">
        <v>45468</v>
      </c>
      <c r="C123" s="7" t="s">
        <v>8</v>
      </c>
      <c r="D123" s="8" t="s">
        <v>32</v>
      </c>
      <c r="E123" s="7" t="s">
        <v>10</v>
      </c>
      <c r="F123" s="7" t="s">
        <v>33</v>
      </c>
      <c r="G123" s="25">
        <v>127.21</v>
      </c>
      <c r="H123" s="8" t="s">
        <v>12</v>
      </c>
    </row>
    <row r="124" spans="1:8" ht="17.399999999999999" customHeight="1" x14ac:dyDescent="0.3">
      <c r="A124" s="5">
        <v>1</v>
      </c>
      <c r="B124" s="6">
        <v>45472</v>
      </c>
      <c r="C124" s="7" t="s">
        <v>8</v>
      </c>
      <c r="D124" s="8" t="s">
        <v>32</v>
      </c>
      <c r="E124" s="7" t="s">
        <v>10</v>
      </c>
      <c r="F124" s="7" t="s">
        <v>33</v>
      </c>
      <c r="G124" s="25">
        <v>98.4</v>
      </c>
      <c r="H124" s="8" t="s">
        <v>12</v>
      </c>
    </row>
    <row r="125" spans="1:8" ht="17.399999999999999" customHeight="1" x14ac:dyDescent="0.3">
      <c r="A125" s="5">
        <v>1</v>
      </c>
      <c r="B125" s="6">
        <v>45476</v>
      </c>
      <c r="C125" s="7" t="s">
        <v>8</v>
      </c>
      <c r="D125" s="8" t="s">
        <v>32</v>
      </c>
      <c r="E125" s="7" t="s">
        <v>10</v>
      </c>
      <c r="F125" s="7" t="s">
        <v>33</v>
      </c>
      <c r="G125" s="25">
        <v>40</v>
      </c>
      <c r="H125" s="8" t="s">
        <v>12</v>
      </c>
    </row>
    <row r="126" spans="1:8" ht="17.399999999999999" customHeight="1" x14ac:dyDescent="0.3">
      <c r="A126" s="5">
        <v>1</v>
      </c>
      <c r="B126" s="6">
        <v>45499</v>
      </c>
      <c r="C126" s="7" t="s">
        <v>8</v>
      </c>
      <c r="D126" s="8" t="s">
        <v>32</v>
      </c>
      <c r="E126" s="7" t="s">
        <v>10</v>
      </c>
      <c r="F126" s="7" t="s">
        <v>33</v>
      </c>
      <c r="G126" s="25">
        <v>479.53</v>
      </c>
      <c r="H126" s="8" t="s">
        <v>12</v>
      </c>
    </row>
    <row r="127" spans="1:8" ht="17.399999999999999" customHeight="1" x14ac:dyDescent="0.3">
      <c r="A127" s="5">
        <v>1</v>
      </c>
      <c r="B127" s="6">
        <v>45503</v>
      </c>
      <c r="C127" s="7" t="s">
        <v>8</v>
      </c>
      <c r="D127" s="8" t="s">
        <v>32</v>
      </c>
      <c r="E127" s="7" t="s">
        <v>10</v>
      </c>
      <c r="F127" s="7" t="s">
        <v>33</v>
      </c>
      <c r="G127" s="25">
        <v>678.98</v>
      </c>
      <c r="H127" s="8" t="s">
        <v>12</v>
      </c>
    </row>
    <row r="128" spans="1:8" ht="17.399999999999999" customHeight="1" x14ac:dyDescent="0.3">
      <c r="A128" s="5">
        <v>1</v>
      </c>
      <c r="B128" s="6">
        <v>45530</v>
      </c>
      <c r="C128" s="7" t="s">
        <v>8</v>
      </c>
      <c r="D128" s="8" t="s">
        <v>32</v>
      </c>
      <c r="E128" s="7" t="s">
        <v>10</v>
      </c>
      <c r="F128" s="7" t="s">
        <v>33</v>
      </c>
      <c r="G128" s="25">
        <v>42.75</v>
      </c>
      <c r="H128" s="8" t="s">
        <v>12</v>
      </c>
    </row>
    <row r="129" spans="1:8" ht="17.399999999999999" customHeight="1" x14ac:dyDescent="0.3">
      <c r="A129" s="5">
        <v>1</v>
      </c>
      <c r="B129" s="6">
        <v>45533</v>
      </c>
      <c r="C129" s="7" t="s">
        <v>8</v>
      </c>
      <c r="D129" s="8" t="s">
        <v>32</v>
      </c>
      <c r="E129" s="7" t="s">
        <v>10</v>
      </c>
      <c r="F129" s="7" t="s">
        <v>33</v>
      </c>
      <c r="G129" s="25">
        <v>70</v>
      </c>
      <c r="H129" s="8" t="s">
        <v>12</v>
      </c>
    </row>
    <row r="130" spans="1:8" ht="17.399999999999999" customHeight="1" x14ac:dyDescent="0.3">
      <c r="A130" s="5">
        <v>1</v>
      </c>
      <c r="B130" s="6">
        <v>45534</v>
      </c>
      <c r="C130" s="7" t="s">
        <v>8</v>
      </c>
      <c r="D130" s="8" t="s">
        <v>32</v>
      </c>
      <c r="E130" s="7" t="s">
        <v>10</v>
      </c>
      <c r="F130" s="7" t="s">
        <v>33</v>
      </c>
      <c r="G130" s="25">
        <v>236.85</v>
      </c>
      <c r="H130" s="8" t="s">
        <v>12</v>
      </c>
    </row>
    <row r="131" spans="1:8" ht="17.399999999999999" customHeight="1" x14ac:dyDescent="0.3">
      <c r="A131" s="5">
        <v>1</v>
      </c>
      <c r="B131" s="6">
        <v>45537</v>
      </c>
      <c r="C131" s="7" t="s">
        <v>8</v>
      </c>
      <c r="D131" s="8" t="s">
        <v>32</v>
      </c>
      <c r="E131" s="7" t="s">
        <v>10</v>
      </c>
      <c r="F131" s="7" t="s">
        <v>33</v>
      </c>
      <c r="G131" s="25">
        <v>274</v>
      </c>
      <c r="H131" s="8" t="s">
        <v>12</v>
      </c>
    </row>
    <row r="132" spans="1:8" ht="17.399999999999999" customHeight="1" x14ac:dyDescent="0.3">
      <c r="A132" s="5">
        <v>1</v>
      </c>
      <c r="B132" s="6">
        <v>45542</v>
      </c>
      <c r="C132" s="7" t="s">
        <v>8</v>
      </c>
      <c r="D132" s="8" t="s">
        <v>32</v>
      </c>
      <c r="E132" s="7" t="s">
        <v>10</v>
      </c>
      <c r="F132" s="7" t="s">
        <v>33</v>
      </c>
      <c r="G132" s="25">
        <v>400</v>
      </c>
      <c r="H132" s="8" t="s">
        <v>12</v>
      </c>
    </row>
    <row r="133" spans="1:8" ht="17.399999999999999" customHeight="1" x14ac:dyDescent="0.3">
      <c r="A133" s="5">
        <v>1</v>
      </c>
      <c r="B133" s="6">
        <v>45561</v>
      </c>
      <c r="C133" s="7" t="s">
        <v>8</v>
      </c>
      <c r="D133" s="8" t="s">
        <v>32</v>
      </c>
      <c r="E133" s="7" t="s">
        <v>10</v>
      </c>
      <c r="F133" s="7" t="s">
        <v>33</v>
      </c>
      <c r="G133" s="25">
        <v>576.5</v>
      </c>
      <c r="H133" s="8" t="s">
        <v>12</v>
      </c>
    </row>
    <row r="134" spans="1:8" ht="17.399999999999999" customHeight="1" x14ac:dyDescent="0.3">
      <c r="A134" s="5">
        <v>1</v>
      </c>
      <c r="B134" s="6">
        <v>45605</v>
      </c>
      <c r="C134" s="7" t="s">
        <v>8</v>
      </c>
      <c r="D134" s="8" t="s">
        <v>32</v>
      </c>
      <c r="E134" s="7" t="s">
        <v>10</v>
      </c>
      <c r="F134" s="7" t="s">
        <v>33</v>
      </c>
      <c r="G134" s="25">
        <v>79.94</v>
      </c>
      <c r="H134" s="8" t="s">
        <v>12</v>
      </c>
    </row>
    <row r="135" spans="1:8" ht="17.399999999999999" customHeight="1" x14ac:dyDescent="0.3">
      <c r="A135" s="5">
        <v>1</v>
      </c>
      <c r="B135" s="6">
        <v>45610</v>
      </c>
      <c r="C135" s="7" t="s">
        <v>8</v>
      </c>
      <c r="D135" s="8" t="s">
        <v>32</v>
      </c>
      <c r="E135" s="7" t="s">
        <v>10</v>
      </c>
      <c r="F135" s="7" t="s">
        <v>33</v>
      </c>
      <c r="G135" s="25">
        <v>242.13</v>
      </c>
      <c r="H135" s="8" t="s">
        <v>12</v>
      </c>
    </row>
    <row r="136" spans="1:8" ht="17.399999999999999" customHeight="1" x14ac:dyDescent="0.3">
      <c r="A136" s="5">
        <v>1</v>
      </c>
      <c r="B136" s="6">
        <v>45619</v>
      </c>
      <c r="C136" s="7" t="s">
        <v>8</v>
      </c>
      <c r="D136" s="8" t="s">
        <v>32</v>
      </c>
      <c r="E136" s="7" t="s">
        <v>10</v>
      </c>
      <c r="F136" s="7" t="s">
        <v>33</v>
      </c>
      <c r="G136" s="25">
        <v>82.04</v>
      </c>
      <c r="H136" s="8" t="s">
        <v>12</v>
      </c>
    </row>
    <row r="137" spans="1:8" ht="17.399999999999999" customHeight="1" x14ac:dyDescent="0.3">
      <c r="A137" s="5">
        <v>1</v>
      </c>
      <c r="B137" s="6">
        <v>45638</v>
      </c>
      <c r="C137" s="7" t="s">
        <v>8</v>
      </c>
      <c r="D137" s="8" t="s">
        <v>32</v>
      </c>
      <c r="E137" s="7" t="s">
        <v>10</v>
      </c>
      <c r="F137" s="7" t="s">
        <v>33</v>
      </c>
      <c r="G137" s="25">
        <v>100</v>
      </c>
      <c r="H137" s="8" t="s">
        <v>12</v>
      </c>
    </row>
    <row r="138" spans="1:8" ht="17.399999999999999" customHeight="1" x14ac:dyDescent="0.3">
      <c r="A138" s="5">
        <v>1</v>
      </c>
      <c r="B138" s="6">
        <v>45688</v>
      </c>
      <c r="C138" s="7" t="s">
        <v>8</v>
      </c>
      <c r="D138" s="8" t="s">
        <v>34</v>
      </c>
      <c r="E138" s="7" t="s">
        <v>10</v>
      </c>
      <c r="F138" s="7" t="s">
        <v>33</v>
      </c>
      <c r="G138" s="25">
        <v>436.34</v>
      </c>
      <c r="H138" s="8" t="s">
        <v>12</v>
      </c>
    </row>
    <row r="139" spans="1:8" ht="17.399999999999999" customHeight="1" x14ac:dyDescent="0.3">
      <c r="A139" s="5">
        <v>1</v>
      </c>
      <c r="B139" s="6">
        <v>45716</v>
      </c>
      <c r="C139" s="7" t="s">
        <v>8</v>
      </c>
      <c r="D139" s="8" t="s">
        <v>34</v>
      </c>
      <c r="E139" s="7" t="s">
        <v>10</v>
      </c>
      <c r="F139" s="7" t="s">
        <v>33</v>
      </c>
      <c r="G139" s="25">
        <v>650.47</v>
      </c>
      <c r="H139" s="8" t="s">
        <v>12</v>
      </c>
    </row>
    <row r="140" spans="1:8" ht="17.399999999999999" customHeight="1" x14ac:dyDescent="0.3">
      <c r="A140" s="5">
        <v>1</v>
      </c>
      <c r="B140" s="6">
        <v>45808</v>
      </c>
      <c r="C140" s="7" t="s">
        <v>8</v>
      </c>
      <c r="D140" s="8" t="s">
        <v>34</v>
      </c>
      <c r="E140" s="7" t="s">
        <v>10</v>
      </c>
      <c r="F140" s="7" t="s">
        <v>33</v>
      </c>
      <c r="G140" s="25">
        <v>102.54</v>
      </c>
      <c r="H140" s="8" t="s">
        <v>12</v>
      </c>
    </row>
    <row r="141" spans="1:8" ht="17.399999999999999" customHeight="1" x14ac:dyDescent="0.3">
      <c r="A141" s="5">
        <v>1</v>
      </c>
      <c r="B141" s="6">
        <v>45869</v>
      </c>
      <c r="C141" s="7" t="s">
        <v>8</v>
      </c>
      <c r="D141" s="8" t="s">
        <v>34</v>
      </c>
      <c r="E141" s="7" t="s">
        <v>10</v>
      </c>
      <c r="F141" s="7" t="s">
        <v>33</v>
      </c>
      <c r="G141" s="25">
        <v>248.09</v>
      </c>
      <c r="H141" s="8" t="s">
        <v>12</v>
      </c>
    </row>
    <row r="142" spans="1:8" ht="17.399999999999999" customHeight="1" x14ac:dyDescent="0.3">
      <c r="A142" s="5">
        <v>1</v>
      </c>
      <c r="B142" s="6">
        <v>45900</v>
      </c>
      <c r="C142" s="7" t="s">
        <v>8</v>
      </c>
      <c r="D142" s="8" t="s">
        <v>34</v>
      </c>
      <c r="E142" s="7" t="s">
        <v>10</v>
      </c>
      <c r="F142" s="7" t="s">
        <v>33</v>
      </c>
      <c r="G142" s="25">
        <v>313</v>
      </c>
      <c r="H142" s="8" t="s">
        <v>12</v>
      </c>
    </row>
    <row r="143" spans="1:8" ht="17.399999999999999" customHeight="1" x14ac:dyDescent="0.3">
      <c r="A143" s="34">
        <v>1</v>
      </c>
      <c r="B143" s="35">
        <v>43997</v>
      </c>
      <c r="C143" s="31" t="s">
        <v>50</v>
      </c>
      <c r="D143" s="32" t="s">
        <v>60</v>
      </c>
      <c r="E143" s="31" t="s">
        <v>40</v>
      </c>
      <c r="F143" s="31" t="s">
        <v>33</v>
      </c>
      <c r="G143" s="62">
        <v>101.5228426395939</v>
      </c>
      <c r="H143" s="32" t="s">
        <v>53</v>
      </c>
    </row>
    <row r="144" spans="1:8" ht="17.399999999999999" customHeight="1" x14ac:dyDescent="0.3">
      <c r="A144" s="34">
        <v>1</v>
      </c>
      <c r="B144" s="35">
        <v>44047</v>
      </c>
      <c r="C144" s="31" t="s">
        <v>50</v>
      </c>
      <c r="D144" s="32" t="s">
        <v>60</v>
      </c>
      <c r="E144" s="31" t="s">
        <v>40</v>
      </c>
      <c r="F144" s="31" t="s">
        <v>33</v>
      </c>
      <c r="G144" s="62">
        <v>101.5228426395939</v>
      </c>
      <c r="H144" s="32" t="s">
        <v>53</v>
      </c>
    </row>
    <row r="145" spans="1:8" ht="17.399999999999999" customHeight="1" x14ac:dyDescent="0.3">
      <c r="A145" s="34">
        <v>1</v>
      </c>
      <c r="B145" s="35">
        <v>44074</v>
      </c>
      <c r="C145" s="31" t="s">
        <v>50</v>
      </c>
      <c r="D145" s="32" t="s">
        <v>60</v>
      </c>
      <c r="E145" s="31" t="s">
        <v>40</v>
      </c>
      <c r="F145" s="31" t="s">
        <v>33</v>
      </c>
      <c r="G145" s="62">
        <v>50.761421319796952</v>
      </c>
      <c r="H145" s="32" t="s">
        <v>53</v>
      </c>
    </row>
    <row r="146" spans="1:8" ht="17.399999999999999" customHeight="1" x14ac:dyDescent="0.3">
      <c r="A146" s="34">
        <v>1</v>
      </c>
      <c r="B146" s="35">
        <v>44105</v>
      </c>
      <c r="C146" s="31" t="s">
        <v>50</v>
      </c>
      <c r="D146" s="32" t="s">
        <v>60</v>
      </c>
      <c r="E146" s="31" t="s">
        <v>40</v>
      </c>
      <c r="F146" s="31" t="s">
        <v>33</v>
      </c>
      <c r="G146" s="62">
        <v>101.5228426395939</v>
      </c>
      <c r="H146" s="32" t="s">
        <v>53</v>
      </c>
    </row>
    <row r="147" spans="1:8" ht="17.399999999999999" customHeight="1" x14ac:dyDescent="0.3">
      <c r="A147" s="34">
        <v>1</v>
      </c>
      <c r="B147" s="35">
        <v>44144</v>
      </c>
      <c r="C147" s="31" t="s">
        <v>50</v>
      </c>
      <c r="D147" s="32" t="s">
        <v>60</v>
      </c>
      <c r="E147" s="31" t="s">
        <v>40</v>
      </c>
      <c r="F147" s="31" t="s">
        <v>33</v>
      </c>
      <c r="G147" s="62">
        <v>50.761421319796952</v>
      </c>
      <c r="H147" s="32" t="s">
        <v>53</v>
      </c>
    </row>
    <row r="148" spans="1:8" ht="17.399999999999999" customHeight="1" x14ac:dyDescent="0.3">
      <c r="A148" s="34">
        <v>1</v>
      </c>
      <c r="B148" s="35">
        <v>44159</v>
      </c>
      <c r="C148" s="31" t="s">
        <v>50</v>
      </c>
      <c r="D148" s="32" t="s">
        <v>60</v>
      </c>
      <c r="E148" s="31" t="s">
        <v>40</v>
      </c>
      <c r="F148" s="31" t="s">
        <v>33</v>
      </c>
      <c r="G148" s="62">
        <v>50.761421319796952</v>
      </c>
      <c r="H148" s="32" t="s">
        <v>53</v>
      </c>
    </row>
    <row r="149" spans="1:8" ht="17.399999999999999" customHeight="1" x14ac:dyDescent="0.3">
      <c r="A149" s="34">
        <v>1</v>
      </c>
      <c r="B149" s="35">
        <v>44207</v>
      </c>
      <c r="C149" s="31" t="s">
        <v>50</v>
      </c>
      <c r="D149" s="32" t="s">
        <v>60</v>
      </c>
      <c r="E149" s="31" t="s">
        <v>40</v>
      </c>
      <c r="F149" s="31" t="s">
        <v>33</v>
      </c>
      <c r="G149" s="62">
        <v>50.761421319796952</v>
      </c>
      <c r="H149" s="32" t="s">
        <v>53</v>
      </c>
    </row>
    <row r="150" spans="1:8" ht="17.399999999999999" customHeight="1" x14ac:dyDescent="0.3">
      <c r="A150" s="34">
        <v>1</v>
      </c>
      <c r="B150" s="35">
        <v>44305</v>
      </c>
      <c r="C150" s="31" t="s">
        <v>50</v>
      </c>
      <c r="D150" s="32" t="s">
        <v>60</v>
      </c>
      <c r="E150" s="31" t="s">
        <v>40</v>
      </c>
      <c r="F150" s="31" t="s">
        <v>33</v>
      </c>
      <c r="G150" s="62">
        <v>203.04568527918781</v>
      </c>
      <c r="H150" s="32" t="s">
        <v>53</v>
      </c>
    </row>
    <row r="151" spans="1:8" ht="17.399999999999999" customHeight="1" x14ac:dyDescent="0.3">
      <c r="A151" s="34">
        <v>1</v>
      </c>
      <c r="B151" s="35">
        <v>44347</v>
      </c>
      <c r="C151" s="31" t="s">
        <v>50</v>
      </c>
      <c r="D151" s="32" t="s">
        <v>60</v>
      </c>
      <c r="E151" s="31" t="s">
        <v>40</v>
      </c>
      <c r="F151" s="31" t="s">
        <v>33</v>
      </c>
      <c r="G151" s="62">
        <v>304.56852791878174</v>
      </c>
      <c r="H151" s="32" t="s">
        <v>53</v>
      </c>
    </row>
    <row r="152" spans="1:8" ht="17.399999999999999" customHeight="1" x14ac:dyDescent="0.3">
      <c r="A152" s="34">
        <v>1</v>
      </c>
      <c r="B152" s="35">
        <v>44396</v>
      </c>
      <c r="C152" s="31" t="s">
        <v>50</v>
      </c>
      <c r="D152" s="32" t="s">
        <v>60</v>
      </c>
      <c r="E152" s="31" t="s">
        <v>40</v>
      </c>
      <c r="F152" s="31" t="s">
        <v>33</v>
      </c>
      <c r="G152" s="62">
        <v>507.61421319796955</v>
      </c>
      <c r="H152" s="32" t="s">
        <v>53</v>
      </c>
    </row>
    <row r="153" spans="1:8" ht="17.399999999999999" customHeight="1" x14ac:dyDescent="0.3">
      <c r="A153" s="34">
        <v>1</v>
      </c>
      <c r="B153" s="35">
        <v>44592</v>
      </c>
      <c r="C153" s="31" t="s">
        <v>50</v>
      </c>
      <c r="D153" s="32" t="s">
        <v>60</v>
      </c>
      <c r="E153" s="31" t="s">
        <v>40</v>
      </c>
      <c r="F153" s="31" t="s">
        <v>33</v>
      </c>
      <c r="G153" s="62">
        <v>409.18781725888329</v>
      </c>
      <c r="H153" s="32" t="s">
        <v>53</v>
      </c>
    </row>
    <row r="154" spans="1:8" ht="17.399999999999999" customHeight="1" x14ac:dyDescent="0.3">
      <c r="A154" s="34">
        <v>1</v>
      </c>
      <c r="B154" s="35">
        <v>44651</v>
      </c>
      <c r="C154" s="31" t="s">
        <v>50</v>
      </c>
      <c r="D154" s="32" t="s">
        <v>60</v>
      </c>
      <c r="E154" s="31" t="s">
        <v>40</v>
      </c>
      <c r="F154" s="31" t="s">
        <v>33</v>
      </c>
      <c r="G154" s="62">
        <v>79.923857868020306</v>
      </c>
      <c r="H154" s="32" t="s">
        <v>53</v>
      </c>
    </row>
    <row r="155" spans="1:8" ht="17.399999999999999" customHeight="1" x14ac:dyDescent="0.3">
      <c r="A155" s="34">
        <v>1</v>
      </c>
      <c r="B155" s="35">
        <v>44681</v>
      </c>
      <c r="C155" s="31" t="s">
        <v>50</v>
      </c>
      <c r="D155" s="32" t="s">
        <v>60</v>
      </c>
      <c r="E155" s="31" t="s">
        <v>40</v>
      </c>
      <c r="F155" s="31" t="s">
        <v>33</v>
      </c>
      <c r="G155" s="62">
        <v>45.142131979695435</v>
      </c>
      <c r="H155" s="32" t="s">
        <v>53</v>
      </c>
    </row>
    <row r="156" spans="1:8" ht="17.399999999999999" customHeight="1" x14ac:dyDescent="0.3">
      <c r="A156" s="34">
        <v>1</v>
      </c>
      <c r="B156" s="35">
        <v>44712</v>
      </c>
      <c r="C156" s="31" t="s">
        <v>50</v>
      </c>
      <c r="D156" s="32" t="s">
        <v>60</v>
      </c>
      <c r="E156" s="31" t="s">
        <v>40</v>
      </c>
      <c r="F156" s="31" t="s">
        <v>33</v>
      </c>
      <c r="G156" s="62">
        <v>248.09137055837564</v>
      </c>
      <c r="H156" s="32" t="s">
        <v>53</v>
      </c>
    </row>
    <row r="157" spans="1:8" ht="17.399999999999999" customHeight="1" x14ac:dyDescent="0.3">
      <c r="A157" s="34">
        <v>1</v>
      </c>
      <c r="B157" s="35">
        <v>44742</v>
      </c>
      <c r="C157" s="31" t="s">
        <v>50</v>
      </c>
      <c r="D157" s="32" t="s">
        <v>60</v>
      </c>
      <c r="E157" s="31" t="s">
        <v>40</v>
      </c>
      <c r="F157" s="31" t="s">
        <v>33</v>
      </c>
      <c r="G157" s="62">
        <v>233.76142131979697</v>
      </c>
      <c r="H157" s="32" t="s">
        <v>53</v>
      </c>
    </row>
    <row r="158" spans="1:8" ht="17.399999999999999" customHeight="1" x14ac:dyDescent="0.3">
      <c r="A158" s="37">
        <v>1</v>
      </c>
      <c r="B158" s="38">
        <v>44796</v>
      </c>
      <c r="C158" s="39" t="s">
        <v>50</v>
      </c>
      <c r="D158" s="39" t="s">
        <v>60</v>
      </c>
      <c r="E158" s="39" t="s">
        <v>40</v>
      </c>
      <c r="F158" s="39" t="s">
        <v>33</v>
      </c>
      <c r="G158" s="62">
        <v>174.07106598984774</v>
      </c>
      <c r="H158" s="39" t="s">
        <v>53</v>
      </c>
    </row>
    <row r="159" spans="1:8" ht="17.399999999999999" customHeight="1" x14ac:dyDescent="0.3">
      <c r="A159" s="37">
        <v>1</v>
      </c>
      <c r="B159" s="38">
        <v>44825</v>
      </c>
      <c r="C159" s="39" t="s">
        <v>50</v>
      </c>
      <c r="D159" s="39" t="s">
        <v>60</v>
      </c>
      <c r="E159" s="39" t="s">
        <v>40</v>
      </c>
      <c r="F159" s="39" t="s">
        <v>33</v>
      </c>
      <c r="G159" s="62">
        <v>52.786802030456847</v>
      </c>
      <c r="H159" s="39" t="s">
        <v>53</v>
      </c>
    </row>
    <row r="160" spans="1:8" ht="17.399999999999999" customHeight="1" x14ac:dyDescent="0.3">
      <c r="A160" s="34">
        <v>1</v>
      </c>
      <c r="B160" s="50">
        <v>44865</v>
      </c>
      <c r="C160" s="31" t="s">
        <v>50</v>
      </c>
      <c r="D160" s="32" t="s">
        <v>60</v>
      </c>
      <c r="E160" s="31" t="s">
        <v>40</v>
      </c>
      <c r="F160" s="31" t="s">
        <v>33</v>
      </c>
      <c r="G160" s="62">
        <v>253.80710659898477</v>
      </c>
      <c r="H160" s="32" t="s">
        <v>53</v>
      </c>
    </row>
    <row r="161" spans="1:8" ht="17.399999999999999" customHeight="1" x14ac:dyDescent="0.3">
      <c r="A161" s="37">
        <v>1</v>
      </c>
      <c r="B161" s="38">
        <v>44873</v>
      </c>
      <c r="C161" s="39" t="s">
        <v>50</v>
      </c>
      <c r="D161" s="39" t="s">
        <v>60</v>
      </c>
      <c r="E161" s="39" t="s">
        <v>40</v>
      </c>
      <c r="F161" s="39" t="s">
        <v>33</v>
      </c>
      <c r="G161" s="62">
        <v>507.61421319796955</v>
      </c>
      <c r="H161" s="39" t="s">
        <v>53</v>
      </c>
    </row>
    <row r="162" spans="1:8" ht="17.399999999999999" customHeight="1" x14ac:dyDescent="0.3">
      <c r="A162" s="34">
        <v>1</v>
      </c>
      <c r="B162" s="50">
        <v>44895</v>
      </c>
      <c r="C162" s="31" t="s">
        <v>50</v>
      </c>
      <c r="D162" s="32" t="s">
        <v>60</v>
      </c>
      <c r="E162" s="31" t="s">
        <v>40</v>
      </c>
      <c r="F162" s="31" t="s">
        <v>33</v>
      </c>
      <c r="G162" s="62">
        <v>157.38071065989848</v>
      </c>
      <c r="H162" s="32" t="s">
        <v>53</v>
      </c>
    </row>
    <row r="163" spans="1:8" ht="17.399999999999999" customHeight="1" x14ac:dyDescent="0.3">
      <c r="A163" s="34">
        <v>1</v>
      </c>
      <c r="B163" s="50">
        <v>44926</v>
      </c>
      <c r="C163" s="31" t="s">
        <v>50</v>
      </c>
      <c r="D163" s="32" t="s">
        <v>60</v>
      </c>
      <c r="E163" s="31" t="s">
        <v>40</v>
      </c>
      <c r="F163" s="31" t="s">
        <v>33</v>
      </c>
      <c r="G163" s="62">
        <v>197.96954314720813</v>
      </c>
      <c r="H163" s="32" t="s">
        <v>53</v>
      </c>
    </row>
    <row r="164" spans="1:8" ht="17.399999999999999" customHeight="1" x14ac:dyDescent="0.3">
      <c r="A164" s="34">
        <v>1</v>
      </c>
      <c r="B164" s="35">
        <v>44951</v>
      </c>
      <c r="C164" s="31" t="s">
        <v>50</v>
      </c>
      <c r="D164" s="31" t="s">
        <v>60</v>
      </c>
      <c r="E164" s="31" t="s">
        <v>40</v>
      </c>
      <c r="F164" s="31" t="s">
        <v>33</v>
      </c>
      <c r="G164" s="62">
        <v>379.90862944162433</v>
      </c>
      <c r="H164" s="33" t="s">
        <v>53</v>
      </c>
    </row>
    <row r="165" spans="1:8" ht="17.399999999999999" customHeight="1" x14ac:dyDescent="0.3">
      <c r="A165" s="34">
        <v>1</v>
      </c>
      <c r="B165" s="35">
        <v>45046</v>
      </c>
      <c r="C165" s="31" t="s">
        <v>50</v>
      </c>
      <c r="D165" s="31" t="s">
        <v>60</v>
      </c>
      <c r="E165" s="31" t="s">
        <v>40</v>
      </c>
      <c r="F165" s="31" t="s">
        <v>33</v>
      </c>
      <c r="G165" s="62">
        <v>495.82233502538071</v>
      </c>
      <c r="H165" s="33" t="s">
        <v>53</v>
      </c>
    </row>
    <row r="166" spans="1:8" ht="17.399999999999999" customHeight="1" x14ac:dyDescent="0.3">
      <c r="A166" s="34">
        <v>1</v>
      </c>
      <c r="B166" s="35">
        <v>45090</v>
      </c>
      <c r="C166" s="31" t="s">
        <v>50</v>
      </c>
      <c r="D166" s="31" t="s">
        <v>60</v>
      </c>
      <c r="E166" s="31" t="s">
        <v>40</v>
      </c>
      <c r="F166" s="31" t="s">
        <v>33</v>
      </c>
      <c r="G166" s="62">
        <v>216.41116751269035</v>
      </c>
      <c r="H166" s="33" t="s">
        <v>53</v>
      </c>
    </row>
    <row r="167" spans="1:8" ht="17.399999999999999" customHeight="1" x14ac:dyDescent="0.3">
      <c r="A167" s="34">
        <v>1</v>
      </c>
      <c r="B167" s="35">
        <v>45124</v>
      </c>
      <c r="C167" s="31" t="s">
        <v>50</v>
      </c>
      <c r="D167" s="31" t="s">
        <v>60</v>
      </c>
      <c r="E167" s="31" t="s">
        <v>40</v>
      </c>
      <c r="F167" s="31" t="s">
        <v>33</v>
      </c>
      <c r="G167" s="62">
        <v>174.43147208121826</v>
      </c>
      <c r="H167" s="33" t="s">
        <v>53</v>
      </c>
    </row>
    <row r="168" spans="1:8" ht="17.399999999999999" customHeight="1" x14ac:dyDescent="0.3">
      <c r="A168" s="34">
        <v>1</v>
      </c>
      <c r="B168" s="35">
        <v>45141</v>
      </c>
      <c r="C168" s="31" t="s">
        <v>50</v>
      </c>
      <c r="D168" s="31" t="s">
        <v>60</v>
      </c>
      <c r="E168" s="31" t="s">
        <v>40</v>
      </c>
      <c r="F168" s="31" t="s">
        <v>33</v>
      </c>
      <c r="G168" s="62">
        <v>253.80710659898477</v>
      </c>
      <c r="H168" s="33" t="s">
        <v>53</v>
      </c>
    </row>
    <row r="169" spans="1:8" ht="17.399999999999999" customHeight="1" x14ac:dyDescent="0.3">
      <c r="A169" s="34">
        <v>1</v>
      </c>
      <c r="B169" s="35">
        <v>45147</v>
      </c>
      <c r="C169" s="31" t="s">
        <v>50</v>
      </c>
      <c r="D169" s="31" t="s">
        <v>60</v>
      </c>
      <c r="E169" s="31" t="s">
        <v>40</v>
      </c>
      <c r="F169" s="31" t="s">
        <v>33</v>
      </c>
      <c r="G169" s="62">
        <v>152.28426395939087</v>
      </c>
      <c r="H169" s="33" t="s">
        <v>53</v>
      </c>
    </row>
    <row r="170" spans="1:8" ht="17.399999999999999" customHeight="1" x14ac:dyDescent="0.3">
      <c r="A170" s="34">
        <v>1</v>
      </c>
      <c r="B170" s="35">
        <v>45169</v>
      </c>
      <c r="C170" s="31" t="s">
        <v>50</v>
      </c>
      <c r="D170" s="31" t="s">
        <v>60</v>
      </c>
      <c r="E170" s="31" t="s">
        <v>40</v>
      </c>
      <c r="F170" s="31" t="s">
        <v>33</v>
      </c>
      <c r="G170" s="62">
        <v>355.36040609137052</v>
      </c>
      <c r="H170" s="33" t="s">
        <v>53</v>
      </c>
    </row>
    <row r="171" spans="1:8" ht="17.399999999999999" customHeight="1" x14ac:dyDescent="0.3">
      <c r="A171" s="34">
        <v>1</v>
      </c>
      <c r="B171" s="50">
        <v>45199</v>
      </c>
      <c r="C171" s="31" t="s">
        <v>50</v>
      </c>
      <c r="D171" s="31" t="s">
        <v>60</v>
      </c>
      <c r="E171" s="31" t="s">
        <v>40</v>
      </c>
      <c r="F171" s="31" t="s">
        <v>33</v>
      </c>
      <c r="G171" s="62">
        <v>74.680203045685289</v>
      </c>
      <c r="H171" s="33" t="s">
        <v>53</v>
      </c>
    </row>
    <row r="172" spans="1:8" ht="17.399999999999999" customHeight="1" x14ac:dyDescent="0.3">
      <c r="A172" s="34">
        <v>1</v>
      </c>
      <c r="B172" s="35">
        <v>45201</v>
      </c>
      <c r="C172" s="31" t="s">
        <v>50</v>
      </c>
      <c r="D172" s="31" t="s">
        <v>60</v>
      </c>
      <c r="E172" s="31" t="s">
        <v>40</v>
      </c>
      <c r="F172" s="31" t="s">
        <v>33</v>
      </c>
      <c r="G172" s="62">
        <v>355.32994923857871</v>
      </c>
      <c r="H172" s="33" t="s">
        <v>53</v>
      </c>
    </row>
    <row r="173" spans="1:8" ht="17.399999999999999" customHeight="1" x14ac:dyDescent="0.3">
      <c r="A173" s="34">
        <v>1</v>
      </c>
      <c r="B173" s="35">
        <v>45230</v>
      </c>
      <c r="C173" s="31" t="s">
        <v>50</v>
      </c>
      <c r="D173" s="31" t="s">
        <v>60</v>
      </c>
      <c r="E173" s="31" t="s">
        <v>40</v>
      </c>
      <c r="F173" s="31" t="s">
        <v>33</v>
      </c>
      <c r="G173" s="62">
        <v>228.42639593908629</v>
      </c>
      <c r="H173" s="33" t="s">
        <v>53</v>
      </c>
    </row>
    <row r="174" spans="1:8" ht="17.399999999999999" customHeight="1" x14ac:dyDescent="0.3">
      <c r="A174" s="34">
        <v>1</v>
      </c>
      <c r="B174" s="35">
        <v>45260</v>
      </c>
      <c r="C174" s="31" t="s">
        <v>50</v>
      </c>
      <c r="D174" s="31" t="s">
        <v>60</v>
      </c>
      <c r="E174" s="31" t="s">
        <v>40</v>
      </c>
      <c r="F174" s="31" t="s">
        <v>33</v>
      </c>
      <c r="G174" s="62">
        <v>126.90355329949239</v>
      </c>
      <c r="H174" s="33" t="s">
        <v>53</v>
      </c>
    </row>
    <row r="175" spans="1:8" ht="17.399999999999999" customHeight="1" x14ac:dyDescent="0.3">
      <c r="A175" s="34">
        <v>1</v>
      </c>
      <c r="B175" s="35">
        <v>45596</v>
      </c>
      <c r="C175" s="31" t="s">
        <v>50</v>
      </c>
      <c r="D175" s="31" t="s">
        <v>60</v>
      </c>
      <c r="E175" s="31" t="s">
        <v>40</v>
      </c>
      <c r="F175" s="31" t="s">
        <v>33</v>
      </c>
      <c r="G175" s="62">
        <v>547.20812182741122</v>
      </c>
      <c r="H175" s="33" t="s">
        <v>53</v>
      </c>
    </row>
    <row r="176" spans="1:8" ht="17.399999999999999" customHeight="1" x14ac:dyDescent="0.3">
      <c r="A176" s="5">
        <v>1</v>
      </c>
      <c r="B176" s="6">
        <v>45504</v>
      </c>
      <c r="C176" s="7" t="s">
        <v>19</v>
      </c>
      <c r="D176" s="8" t="s">
        <v>35</v>
      </c>
      <c r="E176" s="7" t="s">
        <v>36</v>
      </c>
      <c r="F176" s="7" t="s">
        <v>11</v>
      </c>
      <c r="G176" s="25">
        <v>36.75</v>
      </c>
      <c r="H176" s="8" t="s">
        <v>12</v>
      </c>
    </row>
    <row r="177" spans="1:8" ht="17.399999999999999" customHeight="1" x14ac:dyDescent="0.3">
      <c r="A177" s="5">
        <v>1</v>
      </c>
      <c r="B177" s="6">
        <v>45535</v>
      </c>
      <c r="C177" s="7" t="s">
        <v>19</v>
      </c>
      <c r="D177" s="8" t="s">
        <v>35</v>
      </c>
      <c r="E177" s="7" t="s">
        <v>36</v>
      </c>
      <c r="F177" s="7" t="s">
        <v>11</v>
      </c>
      <c r="G177" s="25">
        <v>179.18</v>
      </c>
      <c r="H177" s="8" t="s">
        <v>12</v>
      </c>
    </row>
    <row r="178" spans="1:8" ht="17.399999999999999" customHeight="1" x14ac:dyDescent="0.3">
      <c r="A178" s="5">
        <v>1</v>
      </c>
      <c r="B178" s="6">
        <v>45565</v>
      </c>
      <c r="C178" s="7" t="s">
        <v>19</v>
      </c>
      <c r="D178" s="8" t="s">
        <v>35</v>
      </c>
      <c r="E178" s="7" t="s">
        <v>36</v>
      </c>
      <c r="F178" s="7" t="s">
        <v>11</v>
      </c>
      <c r="G178" s="25">
        <v>172.09</v>
      </c>
      <c r="H178" s="8" t="s">
        <v>12</v>
      </c>
    </row>
    <row r="179" spans="1:8" ht="17.399999999999999" customHeight="1" x14ac:dyDescent="0.3">
      <c r="A179" s="5">
        <v>1</v>
      </c>
      <c r="B179" s="6">
        <v>45596</v>
      </c>
      <c r="C179" s="7" t="s">
        <v>19</v>
      </c>
      <c r="D179" s="8" t="s">
        <v>35</v>
      </c>
      <c r="E179" s="7" t="s">
        <v>36</v>
      </c>
      <c r="F179" s="7" t="s">
        <v>11</v>
      </c>
      <c r="G179" s="25">
        <v>151.34</v>
      </c>
      <c r="H179" s="8" t="s">
        <v>12</v>
      </c>
    </row>
    <row r="180" spans="1:8" ht="17.399999999999999" customHeight="1" x14ac:dyDescent="0.3">
      <c r="A180" s="5">
        <v>1</v>
      </c>
      <c r="B180" s="6">
        <v>45626</v>
      </c>
      <c r="C180" s="7" t="s">
        <v>19</v>
      </c>
      <c r="D180" s="8" t="s">
        <v>35</v>
      </c>
      <c r="E180" s="7" t="s">
        <v>36</v>
      </c>
      <c r="F180" s="7" t="s">
        <v>11</v>
      </c>
      <c r="G180" s="25">
        <v>163.84</v>
      </c>
      <c r="H180" s="8" t="s">
        <v>12</v>
      </c>
    </row>
    <row r="181" spans="1:8" ht="17.399999999999999" customHeight="1" x14ac:dyDescent="0.3">
      <c r="A181" s="5">
        <v>1</v>
      </c>
      <c r="B181" s="6">
        <v>45657</v>
      </c>
      <c r="C181" s="7" t="s">
        <v>19</v>
      </c>
      <c r="D181" s="8" t="s">
        <v>35</v>
      </c>
      <c r="E181" s="7" t="s">
        <v>36</v>
      </c>
      <c r="F181" s="7" t="s">
        <v>11</v>
      </c>
      <c r="G181" s="25">
        <v>143.09</v>
      </c>
      <c r="H181" s="8" t="s">
        <v>12</v>
      </c>
    </row>
    <row r="182" spans="1:8" ht="17.399999999999999" customHeight="1" x14ac:dyDescent="0.3">
      <c r="A182" s="5">
        <v>1</v>
      </c>
      <c r="B182" s="6">
        <v>45688</v>
      </c>
      <c r="C182" s="7" t="s">
        <v>19</v>
      </c>
      <c r="D182" s="8" t="s">
        <v>35</v>
      </c>
      <c r="E182" s="7" t="s">
        <v>36</v>
      </c>
      <c r="F182" s="7" t="s">
        <v>11</v>
      </c>
      <c r="G182" s="26">
        <v>177.25</v>
      </c>
      <c r="H182" s="8" t="s">
        <v>12</v>
      </c>
    </row>
    <row r="183" spans="1:8" ht="17.399999999999999" customHeight="1" x14ac:dyDescent="0.3">
      <c r="A183" s="5">
        <v>1</v>
      </c>
      <c r="B183" s="6">
        <v>45716</v>
      </c>
      <c r="C183" s="7" t="s">
        <v>19</v>
      </c>
      <c r="D183" s="8" t="s">
        <v>35</v>
      </c>
      <c r="E183" s="7" t="s">
        <v>36</v>
      </c>
      <c r="F183" s="7" t="s">
        <v>11</v>
      </c>
      <c r="G183" s="26">
        <v>190.5</v>
      </c>
      <c r="H183" s="8" t="s">
        <v>12</v>
      </c>
    </row>
    <row r="184" spans="1:8" ht="17.399999999999999" customHeight="1" x14ac:dyDescent="0.3">
      <c r="A184" s="5">
        <v>1</v>
      </c>
      <c r="B184" s="6">
        <v>45747</v>
      </c>
      <c r="C184" s="7" t="s">
        <v>19</v>
      </c>
      <c r="D184" s="8" t="s">
        <v>35</v>
      </c>
      <c r="E184" s="7" t="s">
        <v>36</v>
      </c>
      <c r="F184" s="7" t="s">
        <v>11</v>
      </c>
      <c r="G184" s="26">
        <v>305.67</v>
      </c>
      <c r="H184" s="8" t="s">
        <v>12</v>
      </c>
    </row>
    <row r="185" spans="1:8" ht="17.399999999999999" customHeight="1" x14ac:dyDescent="0.3">
      <c r="A185" s="5">
        <v>1</v>
      </c>
      <c r="B185" s="6">
        <v>45777</v>
      </c>
      <c r="C185" s="7" t="s">
        <v>19</v>
      </c>
      <c r="D185" s="8" t="s">
        <v>35</v>
      </c>
      <c r="E185" s="7" t="s">
        <v>36</v>
      </c>
      <c r="F185" s="7" t="s">
        <v>11</v>
      </c>
      <c r="G185" s="26">
        <v>142.61000000000001</v>
      </c>
      <c r="H185" s="8" t="s">
        <v>12</v>
      </c>
    </row>
    <row r="186" spans="1:8" ht="17.399999999999999" customHeight="1" x14ac:dyDescent="0.3">
      <c r="A186" s="5">
        <v>1</v>
      </c>
      <c r="B186" s="6">
        <v>45808</v>
      </c>
      <c r="C186" s="7" t="s">
        <v>19</v>
      </c>
      <c r="D186" s="8" t="s">
        <v>35</v>
      </c>
      <c r="E186" s="7" t="s">
        <v>36</v>
      </c>
      <c r="F186" s="7" t="s">
        <v>11</v>
      </c>
      <c r="G186" s="26">
        <v>181.86</v>
      </c>
      <c r="H186" s="8" t="s">
        <v>12</v>
      </c>
    </row>
    <row r="187" spans="1:8" ht="17.399999999999999" customHeight="1" x14ac:dyDescent="0.3">
      <c r="A187" s="5">
        <v>1</v>
      </c>
      <c r="B187" s="6">
        <v>45838</v>
      </c>
      <c r="C187" s="7" t="s">
        <v>19</v>
      </c>
      <c r="D187" s="8" t="s">
        <v>35</v>
      </c>
      <c r="E187" s="7" t="s">
        <v>36</v>
      </c>
      <c r="F187" s="7" t="s">
        <v>11</v>
      </c>
      <c r="G187" s="26">
        <v>139.11000000000001</v>
      </c>
      <c r="H187" s="8" t="s">
        <v>12</v>
      </c>
    </row>
    <row r="188" spans="1:8" ht="17.399999999999999" customHeight="1" x14ac:dyDescent="0.3">
      <c r="A188" s="5">
        <v>1</v>
      </c>
      <c r="B188" s="6">
        <v>45869</v>
      </c>
      <c r="C188" s="7" t="s">
        <v>19</v>
      </c>
      <c r="D188" s="8" t="s">
        <v>35</v>
      </c>
      <c r="E188" s="7" t="s">
        <v>36</v>
      </c>
      <c r="F188" s="7" t="s">
        <v>11</v>
      </c>
      <c r="G188" s="26">
        <v>159.24</v>
      </c>
      <c r="H188" s="8" t="s">
        <v>12</v>
      </c>
    </row>
    <row r="189" spans="1:8" ht="17.399999999999999" customHeight="1" x14ac:dyDescent="0.3">
      <c r="A189" s="5">
        <v>1</v>
      </c>
      <c r="B189" s="6">
        <v>45900</v>
      </c>
      <c r="C189" s="7" t="s">
        <v>19</v>
      </c>
      <c r="D189" s="8" t="s">
        <v>35</v>
      </c>
      <c r="E189" s="7" t="s">
        <v>36</v>
      </c>
      <c r="F189" s="7" t="s">
        <v>11</v>
      </c>
      <c r="G189" s="26">
        <v>3.5</v>
      </c>
      <c r="H189" s="8" t="s">
        <v>12</v>
      </c>
    </row>
    <row r="190" spans="1:8" ht="17.399999999999999" customHeight="1" x14ac:dyDescent="0.3">
      <c r="A190" s="5">
        <v>1</v>
      </c>
      <c r="B190" s="6">
        <v>45930</v>
      </c>
      <c r="C190" s="7" t="s">
        <v>19</v>
      </c>
      <c r="D190" s="8" t="s">
        <v>35</v>
      </c>
      <c r="E190" s="7" t="s">
        <v>36</v>
      </c>
      <c r="F190" s="7" t="s">
        <v>11</v>
      </c>
      <c r="G190" s="25">
        <v>0</v>
      </c>
      <c r="H190" s="8" t="s">
        <v>12</v>
      </c>
    </row>
    <row r="191" spans="1:8" ht="17.399999999999999" customHeight="1" x14ac:dyDescent="0.3">
      <c r="A191" s="5">
        <v>1</v>
      </c>
      <c r="B191" s="6">
        <v>45565</v>
      </c>
      <c r="C191" s="7" t="s">
        <v>19</v>
      </c>
      <c r="D191" s="8" t="s">
        <v>37</v>
      </c>
      <c r="E191" s="7" t="s">
        <v>38</v>
      </c>
      <c r="F191" s="7" t="s">
        <v>33</v>
      </c>
      <c r="G191" s="25">
        <v>1023.8</v>
      </c>
      <c r="H191" s="8" t="s">
        <v>12</v>
      </c>
    </row>
    <row r="192" spans="1:8" ht="17.399999999999999" customHeight="1" x14ac:dyDescent="0.3">
      <c r="A192" s="5">
        <v>1</v>
      </c>
      <c r="B192" s="6">
        <v>45595</v>
      </c>
      <c r="C192" s="7" t="s">
        <v>19</v>
      </c>
      <c r="D192" s="8" t="s">
        <v>37</v>
      </c>
      <c r="E192" s="7" t="s">
        <v>38</v>
      </c>
      <c r="F192" s="7" t="s">
        <v>33</v>
      </c>
      <c r="G192" s="25">
        <v>1023.8</v>
      </c>
      <c r="H192" s="8" t="s">
        <v>12</v>
      </c>
    </row>
    <row r="193" spans="1:8" ht="17.399999999999999" customHeight="1" x14ac:dyDescent="0.3">
      <c r="A193" s="5">
        <v>1</v>
      </c>
      <c r="B193" s="6">
        <v>45625</v>
      </c>
      <c r="C193" s="7" t="s">
        <v>19</v>
      </c>
      <c r="D193" s="8" t="s">
        <v>37</v>
      </c>
      <c r="E193" s="7" t="s">
        <v>38</v>
      </c>
      <c r="F193" s="7" t="s">
        <v>33</v>
      </c>
      <c r="G193" s="25">
        <v>1023.8</v>
      </c>
      <c r="H193" s="8" t="s">
        <v>12</v>
      </c>
    </row>
    <row r="194" spans="1:8" ht="17.399999999999999" customHeight="1" x14ac:dyDescent="0.3">
      <c r="A194" s="5">
        <v>1</v>
      </c>
      <c r="B194" s="6">
        <v>45656</v>
      </c>
      <c r="C194" s="7" t="s">
        <v>19</v>
      </c>
      <c r="D194" s="8" t="s">
        <v>37</v>
      </c>
      <c r="E194" s="7" t="s">
        <v>38</v>
      </c>
      <c r="F194" s="7" t="s">
        <v>33</v>
      </c>
      <c r="G194" s="25">
        <v>1023.8</v>
      </c>
      <c r="H194" s="8" t="s">
        <v>12</v>
      </c>
    </row>
    <row r="195" spans="1:8" ht="17.399999999999999" customHeight="1" x14ac:dyDescent="0.3">
      <c r="A195" s="5">
        <v>1</v>
      </c>
      <c r="B195" s="6">
        <v>45688</v>
      </c>
      <c r="C195" s="7" t="s">
        <v>19</v>
      </c>
      <c r="D195" s="8" t="s">
        <v>37</v>
      </c>
      <c r="E195" s="7" t="s">
        <v>38</v>
      </c>
      <c r="F195" s="7" t="s">
        <v>33</v>
      </c>
      <c r="G195" s="25">
        <v>1025.23</v>
      </c>
      <c r="H195" s="8" t="s">
        <v>12</v>
      </c>
    </row>
    <row r="196" spans="1:8" ht="17.399999999999999" customHeight="1" x14ac:dyDescent="0.3">
      <c r="A196" s="5">
        <v>1</v>
      </c>
      <c r="B196" s="6">
        <v>45716</v>
      </c>
      <c r="C196" s="7" t="s">
        <v>19</v>
      </c>
      <c r="D196" s="8" t="s">
        <v>37</v>
      </c>
      <c r="E196" s="7" t="s">
        <v>38</v>
      </c>
      <c r="F196" s="7" t="s">
        <v>33</v>
      </c>
      <c r="G196" s="25">
        <v>1025.23</v>
      </c>
      <c r="H196" s="8" t="s">
        <v>12</v>
      </c>
    </row>
    <row r="197" spans="1:8" ht="17.399999999999999" customHeight="1" x14ac:dyDescent="0.3">
      <c r="A197" s="5">
        <v>1</v>
      </c>
      <c r="B197" s="6">
        <v>45747</v>
      </c>
      <c r="C197" s="7" t="s">
        <v>19</v>
      </c>
      <c r="D197" s="8" t="s">
        <v>37</v>
      </c>
      <c r="E197" s="7" t="s">
        <v>38</v>
      </c>
      <c r="F197" s="7" t="s">
        <v>33</v>
      </c>
      <c r="G197" s="25">
        <v>1025.23</v>
      </c>
      <c r="H197" s="8" t="s">
        <v>12</v>
      </c>
    </row>
    <row r="198" spans="1:8" ht="17.399999999999999" customHeight="1" x14ac:dyDescent="0.3">
      <c r="A198" s="5">
        <v>1</v>
      </c>
      <c r="B198" s="6">
        <v>45777</v>
      </c>
      <c r="C198" s="7" t="s">
        <v>19</v>
      </c>
      <c r="D198" s="8" t="s">
        <v>37</v>
      </c>
      <c r="E198" s="7" t="s">
        <v>38</v>
      </c>
      <c r="F198" s="7" t="s">
        <v>33</v>
      </c>
      <c r="G198" s="25">
        <v>1115.19</v>
      </c>
      <c r="H198" s="8" t="s">
        <v>12</v>
      </c>
    </row>
    <row r="199" spans="1:8" ht="17.399999999999999" customHeight="1" x14ac:dyDescent="0.3">
      <c r="A199" s="5">
        <v>1</v>
      </c>
      <c r="B199" s="6">
        <v>45777</v>
      </c>
      <c r="C199" s="7" t="s">
        <v>19</v>
      </c>
      <c r="D199" s="8" t="s">
        <v>37</v>
      </c>
      <c r="E199" s="7" t="s">
        <v>38</v>
      </c>
      <c r="F199" s="7" t="s">
        <v>33</v>
      </c>
      <c r="G199" s="25">
        <v>1115.19</v>
      </c>
      <c r="H199" s="8" t="s">
        <v>12</v>
      </c>
    </row>
    <row r="200" spans="1:8" ht="17.399999999999999" customHeight="1" x14ac:dyDescent="0.3">
      <c r="A200" s="5">
        <v>1</v>
      </c>
      <c r="B200" s="6">
        <v>45838</v>
      </c>
      <c r="C200" s="7" t="s">
        <v>19</v>
      </c>
      <c r="D200" s="8" t="s">
        <v>37</v>
      </c>
      <c r="E200" s="7" t="s">
        <v>38</v>
      </c>
      <c r="F200" s="7" t="s">
        <v>33</v>
      </c>
      <c r="G200" s="25">
        <v>1115.19</v>
      </c>
      <c r="H200" s="8" t="s">
        <v>12</v>
      </c>
    </row>
    <row r="201" spans="1:8" ht="17.399999999999999" customHeight="1" x14ac:dyDescent="0.3">
      <c r="A201" s="5">
        <v>1</v>
      </c>
      <c r="B201" s="6">
        <v>45869</v>
      </c>
      <c r="C201" s="7" t="s">
        <v>19</v>
      </c>
      <c r="D201" s="8" t="s">
        <v>37</v>
      </c>
      <c r="E201" s="7" t="s">
        <v>38</v>
      </c>
      <c r="F201" s="7" t="s">
        <v>33</v>
      </c>
      <c r="G201" s="25">
        <v>1115.19</v>
      </c>
      <c r="H201" s="8" t="s">
        <v>12</v>
      </c>
    </row>
    <row r="202" spans="1:8" ht="17.399999999999999" customHeight="1" x14ac:dyDescent="0.3">
      <c r="A202" s="13">
        <v>1</v>
      </c>
      <c r="B202" s="14">
        <v>45900</v>
      </c>
      <c r="C202" s="15" t="s">
        <v>19</v>
      </c>
      <c r="D202" s="15" t="s">
        <v>37</v>
      </c>
      <c r="E202" s="15" t="s">
        <v>38</v>
      </c>
      <c r="F202" s="15" t="s">
        <v>33</v>
      </c>
      <c r="G202" s="28"/>
      <c r="H202" s="15" t="s">
        <v>12</v>
      </c>
    </row>
    <row r="203" spans="1:8" ht="17.399999999999999" customHeight="1" x14ac:dyDescent="0.3">
      <c r="A203" s="34">
        <v>1</v>
      </c>
      <c r="B203" s="35">
        <v>45647</v>
      </c>
      <c r="C203" s="31" t="s">
        <v>57</v>
      </c>
      <c r="D203" s="31" t="s">
        <v>57</v>
      </c>
      <c r="E203" s="31" t="s">
        <v>52</v>
      </c>
      <c r="F203" s="31" t="s">
        <v>11</v>
      </c>
      <c r="G203" s="62">
        <v>257.67218944059368</v>
      </c>
      <c r="H203" s="33" t="s">
        <v>53</v>
      </c>
    </row>
    <row r="204" spans="1:8" ht="17.399999999999999" customHeight="1" x14ac:dyDescent="0.3">
      <c r="A204" s="34">
        <v>1</v>
      </c>
      <c r="B204" s="35">
        <v>45747</v>
      </c>
      <c r="C204" s="31" t="s">
        <v>57</v>
      </c>
      <c r="D204" s="31" t="s">
        <v>57</v>
      </c>
      <c r="E204" s="31" t="s">
        <v>52</v>
      </c>
      <c r="F204" s="31" t="s">
        <v>11</v>
      </c>
      <c r="G204" s="62">
        <v>64.418047360148421</v>
      </c>
      <c r="H204" s="33" t="s">
        <v>53</v>
      </c>
    </row>
    <row r="205" spans="1:8" ht="17.399999999999999" customHeight="1" x14ac:dyDescent="0.3">
      <c r="A205" s="34">
        <v>1</v>
      </c>
      <c r="B205" s="35">
        <v>45751</v>
      </c>
      <c r="C205" s="31" t="s">
        <v>57</v>
      </c>
      <c r="D205" s="31" t="s">
        <v>57</v>
      </c>
      <c r="E205" s="31" t="s">
        <v>52</v>
      </c>
      <c r="F205" s="31" t="s">
        <v>11</v>
      </c>
      <c r="G205" s="62">
        <v>64.418047360148421</v>
      </c>
      <c r="H205" s="33" t="s">
        <v>53</v>
      </c>
    </row>
    <row r="206" spans="1:8" ht="17.399999999999999" customHeight="1" x14ac:dyDescent="0.3">
      <c r="A206" s="34">
        <v>1</v>
      </c>
      <c r="B206" s="35">
        <v>45763</v>
      </c>
      <c r="C206" s="31" t="s">
        <v>57</v>
      </c>
      <c r="D206" s="31" t="s">
        <v>57</v>
      </c>
      <c r="E206" s="31" t="s">
        <v>52</v>
      </c>
      <c r="F206" s="31" t="s">
        <v>11</v>
      </c>
      <c r="G206" s="62">
        <v>96.627071040222631</v>
      </c>
      <c r="H206" s="33" t="s">
        <v>53</v>
      </c>
    </row>
    <row r="207" spans="1:8" ht="17.399999999999999" customHeight="1" x14ac:dyDescent="0.3">
      <c r="A207" s="34">
        <v>1</v>
      </c>
      <c r="B207" s="35">
        <v>45776</v>
      </c>
      <c r="C207" s="31" t="s">
        <v>57</v>
      </c>
      <c r="D207" s="31" t="s">
        <v>57</v>
      </c>
      <c r="E207" s="31" t="s">
        <v>52</v>
      </c>
      <c r="F207" s="31" t="s">
        <v>11</v>
      </c>
      <c r="G207" s="62">
        <v>38.650828416089055</v>
      </c>
      <c r="H207" s="33" t="s">
        <v>53</v>
      </c>
    </row>
    <row r="208" spans="1:8" ht="17.399999999999999" customHeight="1" x14ac:dyDescent="0.3">
      <c r="A208" s="34">
        <v>1</v>
      </c>
      <c r="B208" s="35">
        <v>45776</v>
      </c>
      <c r="C208" s="31" t="s">
        <v>57</v>
      </c>
      <c r="D208" s="31" t="s">
        <v>57</v>
      </c>
      <c r="E208" s="31" t="s">
        <v>52</v>
      </c>
      <c r="F208" s="31" t="s">
        <v>11</v>
      </c>
      <c r="G208" s="62">
        <v>38.650828416089055</v>
      </c>
      <c r="H208" s="33" t="s">
        <v>53</v>
      </c>
    </row>
    <row r="209" spans="1:8" ht="17.399999999999999" customHeight="1" x14ac:dyDescent="0.3">
      <c r="A209" s="34">
        <v>1</v>
      </c>
      <c r="B209" s="35">
        <v>45852</v>
      </c>
      <c r="C209" s="31" t="s">
        <v>57</v>
      </c>
      <c r="D209" s="31" t="s">
        <v>57</v>
      </c>
      <c r="E209" s="31" t="s">
        <v>52</v>
      </c>
      <c r="F209" s="31" t="s">
        <v>11</v>
      </c>
      <c r="G209" s="62">
        <v>128.83609472029684</v>
      </c>
      <c r="H209" s="33" t="s">
        <v>53</v>
      </c>
    </row>
    <row r="210" spans="1:8" ht="17.399999999999999" customHeight="1" x14ac:dyDescent="0.3">
      <c r="A210" s="34">
        <v>1</v>
      </c>
      <c r="B210" s="35">
        <v>45322</v>
      </c>
      <c r="C210" s="31" t="s">
        <v>50</v>
      </c>
      <c r="D210" s="31" t="s">
        <v>51</v>
      </c>
      <c r="E210" s="31" t="s">
        <v>52</v>
      </c>
      <c r="F210" s="31" t="s">
        <v>11</v>
      </c>
      <c r="G210" s="62">
        <v>270.55579891262335</v>
      </c>
      <c r="H210" s="33" t="s">
        <v>53</v>
      </c>
    </row>
    <row r="211" spans="1:8" ht="17.399999999999999" customHeight="1" x14ac:dyDescent="0.3">
      <c r="A211" s="34">
        <v>1</v>
      </c>
      <c r="B211" s="35">
        <v>45350</v>
      </c>
      <c r="C211" s="31" t="s">
        <v>50</v>
      </c>
      <c r="D211" s="31" t="s">
        <v>51</v>
      </c>
      <c r="E211" s="31" t="s">
        <v>52</v>
      </c>
      <c r="F211" s="31" t="s">
        <v>11</v>
      </c>
      <c r="G211" s="62">
        <v>141.7197041923265</v>
      </c>
      <c r="H211" s="33" t="s">
        <v>53</v>
      </c>
    </row>
    <row r="212" spans="1:8" ht="17.399999999999999" customHeight="1" x14ac:dyDescent="0.3">
      <c r="A212" s="34">
        <v>1</v>
      </c>
      <c r="B212" s="35">
        <v>45382</v>
      </c>
      <c r="C212" s="31" t="s">
        <v>50</v>
      </c>
      <c r="D212" s="31" t="s">
        <v>51</v>
      </c>
      <c r="E212" s="31" t="s">
        <v>52</v>
      </c>
      <c r="F212" s="31" t="s">
        <v>11</v>
      </c>
      <c r="G212" s="62">
        <v>244.78857996856402</v>
      </c>
      <c r="H212" s="33" t="s">
        <v>53</v>
      </c>
    </row>
    <row r="213" spans="1:8" ht="17.399999999999999" customHeight="1" x14ac:dyDescent="0.3">
      <c r="A213" s="34">
        <v>1</v>
      </c>
      <c r="B213" s="35">
        <v>45412</v>
      </c>
      <c r="C213" s="31" t="s">
        <v>50</v>
      </c>
      <c r="D213" s="31" t="s">
        <v>51</v>
      </c>
      <c r="E213" s="31" t="s">
        <v>52</v>
      </c>
      <c r="F213" s="31" t="s">
        <v>11</v>
      </c>
      <c r="G213" s="62">
        <v>186.81233734443043</v>
      </c>
      <c r="H213" s="33" t="s">
        <v>53</v>
      </c>
    </row>
    <row r="214" spans="1:8" ht="17.399999999999999" customHeight="1" x14ac:dyDescent="0.3">
      <c r="A214" s="34">
        <v>1</v>
      </c>
      <c r="B214" s="35">
        <v>45443</v>
      </c>
      <c r="C214" s="31" t="s">
        <v>50</v>
      </c>
      <c r="D214" s="31" t="s">
        <v>51</v>
      </c>
      <c r="E214" s="31" t="s">
        <v>52</v>
      </c>
      <c r="F214" s="31" t="s">
        <v>11</v>
      </c>
      <c r="G214" s="62">
        <v>99.150970135793258</v>
      </c>
      <c r="H214" s="33" t="s">
        <v>53</v>
      </c>
    </row>
    <row r="215" spans="1:8" ht="17.399999999999999" customHeight="1" x14ac:dyDescent="0.3">
      <c r="A215" s="34">
        <v>1</v>
      </c>
      <c r="B215" s="35">
        <v>45473</v>
      </c>
      <c r="C215" s="31" t="s">
        <v>50</v>
      </c>
      <c r="D215" s="31" t="s">
        <v>51</v>
      </c>
      <c r="E215" s="31" t="s">
        <v>52</v>
      </c>
      <c r="F215" s="31" t="s">
        <v>11</v>
      </c>
      <c r="G215" s="62">
        <v>255.09546754618776</v>
      </c>
      <c r="H215" s="33" t="s">
        <v>53</v>
      </c>
    </row>
    <row r="216" spans="1:8" ht="17.399999999999999" customHeight="1" x14ac:dyDescent="0.3">
      <c r="A216" s="34">
        <v>1</v>
      </c>
      <c r="B216" s="35">
        <v>45565</v>
      </c>
      <c r="C216" s="31" t="s">
        <v>50</v>
      </c>
      <c r="D216" s="31" t="s">
        <v>51</v>
      </c>
      <c r="E216" s="31" t="s">
        <v>52</v>
      </c>
      <c r="F216" s="31" t="s">
        <v>11</v>
      </c>
      <c r="G216" s="62">
        <v>83.743461568192942</v>
      </c>
      <c r="H216" s="33" t="s">
        <v>53</v>
      </c>
    </row>
    <row r="217" spans="1:8" ht="17.399999999999999" customHeight="1" x14ac:dyDescent="0.3">
      <c r="A217" s="34">
        <v>1</v>
      </c>
      <c r="B217" s="35">
        <v>45596</v>
      </c>
      <c r="C217" s="31" t="s">
        <v>50</v>
      </c>
      <c r="D217" s="31" t="s">
        <v>51</v>
      </c>
      <c r="E217" s="31" t="s">
        <v>52</v>
      </c>
      <c r="F217" s="31" t="s">
        <v>11</v>
      </c>
      <c r="G217" s="62">
        <v>231.9049704965343</v>
      </c>
      <c r="H217" s="33" t="s">
        <v>53</v>
      </c>
    </row>
    <row r="218" spans="1:8" ht="17.399999999999999" customHeight="1" x14ac:dyDescent="0.3">
      <c r="A218" s="34">
        <v>1</v>
      </c>
      <c r="B218" s="35">
        <v>45626</v>
      </c>
      <c r="C218" s="31" t="s">
        <v>50</v>
      </c>
      <c r="D218" s="31" t="s">
        <v>51</v>
      </c>
      <c r="E218" s="31" t="s">
        <v>52</v>
      </c>
      <c r="F218" s="31" t="s">
        <v>11</v>
      </c>
      <c r="G218" s="62">
        <v>199.67533304130484</v>
      </c>
      <c r="H218" s="33" t="s">
        <v>53</v>
      </c>
    </row>
    <row r="219" spans="1:8" ht="17.399999999999999" customHeight="1" x14ac:dyDescent="0.3">
      <c r="A219" s="34">
        <v>1</v>
      </c>
      <c r="B219" s="35">
        <v>45657</v>
      </c>
      <c r="C219" s="31" t="s">
        <v>50</v>
      </c>
      <c r="D219" s="31" t="s">
        <v>51</v>
      </c>
      <c r="E219" s="31" t="s">
        <v>52</v>
      </c>
      <c r="F219" s="31" t="s">
        <v>11</v>
      </c>
      <c r="G219" s="62">
        <v>80.724831868896402</v>
      </c>
      <c r="H219" s="33" t="s">
        <v>53</v>
      </c>
    </row>
    <row r="220" spans="1:8" ht="17.399999999999999" customHeight="1" x14ac:dyDescent="0.3">
      <c r="A220" s="34">
        <v>1</v>
      </c>
      <c r="B220" s="35">
        <v>45688</v>
      </c>
      <c r="C220" s="31" t="s">
        <v>50</v>
      </c>
      <c r="D220" s="31" t="s">
        <v>51</v>
      </c>
      <c r="E220" s="31" t="s">
        <v>52</v>
      </c>
      <c r="F220" s="31" t="s">
        <v>11</v>
      </c>
      <c r="G220" s="62">
        <v>193.25414208044526</v>
      </c>
      <c r="H220" s="33" t="s">
        <v>53</v>
      </c>
    </row>
    <row r="221" spans="1:8" ht="17.399999999999999" customHeight="1" x14ac:dyDescent="0.3">
      <c r="A221" s="34">
        <v>1</v>
      </c>
      <c r="B221" s="35">
        <v>45716</v>
      </c>
      <c r="C221" s="31" t="s">
        <v>50</v>
      </c>
      <c r="D221" s="31" t="s">
        <v>51</v>
      </c>
      <c r="E221" s="31" t="s">
        <v>52</v>
      </c>
      <c r="F221" s="31" t="s">
        <v>11</v>
      </c>
      <c r="G221" s="62">
        <v>251.23038470457885</v>
      </c>
      <c r="H221" s="33" t="s">
        <v>53</v>
      </c>
    </row>
    <row r="222" spans="1:8" ht="17.399999999999999" customHeight="1" x14ac:dyDescent="0.3">
      <c r="A222" s="34">
        <v>1</v>
      </c>
      <c r="B222" s="35">
        <v>45747</v>
      </c>
      <c r="C222" s="31" t="s">
        <v>50</v>
      </c>
      <c r="D222" s="31" t="s">
        <v>51</v>
      </c>
      <c r="E222" s="31" t="s">
        <v>52</v>
      </c>
      <c r="F222" s="31" t="s">
        <v>11</v>
      </c>
      <c r="G222" s="62">
        <v>338.19474864077921</v>
      </c>
      <c r="H222" s="33" t="s">
        <v>53</v>
      </c>
    </row>
    <row r="223" spans="1:8" ht="17.399999999999999" customHeight="1" x14ac:dyDescent="0.3">
      <c r="A223" s="34">
        <v>1</v>
      </c>
      <c r="B223" s="35">
        <v>45777</v>
      </c>
      <c r="C223" s="31" t="s">
        <v>50</v>
      </c>
      <c r="D223" s="31" t="s">
        <v>51</v>
      </c>
      <c r="E223" s="31" t="s">
        <v>52</v>
      </c>
      <c r="F223" s="31" t="s">
        <v>11</v>
      </c>
      <c r="G223" s="62">
        <v>541.11159782524669</v>
      </c>
      <c r="H223" s="33" t="s">
        <v>53</v>
      </c>
    </row>
    <row r="224" spans="1:8" ht="17.399999999999999" customHeight="1" x14ac:dyDescent="0.3">
      <c r="A224" s="34">
        <v>1</v>
      </c>
      <c r="B224" s="35">
        <v>45784</v>
      </c>
      <c r="C224" s="31" t="s">
        <v>50</v>
      </c>
      <c r="D224" s="31" t="s">
        <v>51</v>
      </c>
      <c r="E224" s="31" t="s">
        <v>52</v>
      </c>
      <c r="F224" s="31" t="s">
        <v>11</v>
      </c>
      <c r="G224" s="62">
        <v>180.3705326084156</v>
      </c>
      <c r="H224" s="33" t="s">
        <v>53</v>
      </c>
    </row>
    <row r="225" spans="1:8" ht="17.399999999999999" customHeight="1" x14ac:dyDescent="0.3">
      <c r="A225" s="34">
        <v>1</v>
      </c>
      <c r="B225" s="35">
        <v>45791</v>
      </c>
      <c r="C225" s="31" t="s">
        <v>50</v>
      </c>
      <c r="D225" s="31" t="s">
        <v>51</v>
      </c>
      <c r="E225" s="31" t="s">
        <v>52</v>
      </c>
      <c r="F225" s="31" t="s">
        <v>11</v>
      </c>
      <c r="G225" s="62">
        <v>27.055579891262337</v>
      </c>
      <c r="H225" s="33" t="s">
        <v>53</v>
      </c>
    </row>
    <row r="226" spans="1:8" ht="17.399999999999999" customHeight="1" x14ac:dyDescent="0.3">
      <c r="A226" s="34">
        <v>1</v>
      </c>
      <c r="B226" s="35">
        <v>45803</v>
      </c>
      <c r="C226" s="31" t="s">
        <v>50</v>
      </c>
      <c r="D226" s="31" t="s">
        <v>51</v>
      </c>
      <c r="E226" s="31" t="s">
        <v>52</v>
      </c>
      <c r="F226" s="31" t="s">
        <v>11</v>
      </c>
      <c r="G226" s="62">
        <v>166.19856218918295</v>
      </c>
      <c r="H226" s="33" t="s">
        <v>53</v>
      </c>
    </row>
    <row r="227" spans="1:8" ht="17.399999999999999" customHeight="1" x14ac:dyDescent="0.3">
      <c r="A227" s="34">
        <v>1</v>
      </c>
      <c r="B227" s="35">
        <v>45810</v>
      </c>
      <c r="C227" s="31" t="s">
        <v>50</v>
      </c>
      <c r="D227" s="31" t="s">
        <v>51</v>
      </c>
      <c r="E227" s="31" t="s">
        <v>52</v>
      </c>
      <c r="F227" s="31" t="s">
        <v>11</v>
      </c>
      <c r="G227" s="62">
        <v>257.67218944059368</v>
      </c>
      <c r="H227" s="33" t="s">
        <v>53</v>
      </c>
    </row>
    <row r="228" spans="1:8" ht="17.399999999999999" customHeight="1" x14ac:dyDescent="0.3">
      <c r="A228" s="34">
        <v>1</v>
      </c>
      <c r="B228" s="35">
        <v>45821</v>
      </c>
      <c r="C228" s="31" t="s">
        <v>50</v>
      </c>
      <c r="D228" s="31" t="s">
        <v>51</v>
      </c>
      <c r="E228" s="31" t="s">
        <v>52</v>
      </c>
      <c r="F228" s="31" t="s">
        <v>11</v>
      </c>
      <c r="G228" s="62">
        <v>103.06887577623746</v>
      </c>
      <c r="H228" s="33" t="s">
        <v>53</v>
      </c>
    </row>
    <row r="229" spans="1:8" ht="17.399999999999999" customHeight="1" x14ac:dyDescent="0.3">
      <c r="A229" s="34">
        <v>1</v>
      </c>
      <c r="B229" s="35">
        <v>45838</v>
      </c>
      <c r="C229" s="31" t="s">
        <v>50</v>
      </c>
      <c r="D229" s="31" t="s">
        <v>51</v>
      </c>
      <c r="E229" s="31" t="s">
        <v>52</v>
      </c>
      <c r="F229" s="31" t="s">
        <v>11</v>
      </c>
      <c r="G229" s="62">
        <v>193.25414208044526</v>
      </c>
      <c r="H229" s="33" t="s">
        <v>53</v>
      </c>
    </row>
    <row r="230" spans="1:8" ht="17.399999999999999" customHeight="1" x14ac:dyDescent="0.3">
      <c r="A230" s="34">
        <v>1</v>
      </c>
      <c r="B230" s="35">
        <v>45858</v>
      </c>
      <c r="C230" s="31" t="s">
        <v>50</v>
      </c>
      <c r="D230" s="31" t="s">
        <v>51</v>
      </c>
      <c r="E230" s="31" t="s">
        <v>52</v>
      </c>
      <c r="F230" s="31" t="s">
        <v>11</v>
      </c>
      <c r="G230" s="62">
        <v>225.57396480197892</v>
      </c>
      <c r="H230" s="33" t="s">
        <v>53</v>
      </c>
    </row>
    <row r="231" spans="1:8" ht="17.399999999999999" customHeight="1" x14ac:dyDescent="0.3">
      <c r="A231" s="34">
        <v>1</v>
      </c>
      <c r="B231" s="35">
        <v>45873</v>
      </c>
      <c r="C231" s="31" t="s">
        <v>50</v>
      </c>
      <c r="D231" s="31" t="s">
        <v>51</v>
      </c>
      <c r="E231" s="31" t="s">
        <v>52</v>
      </c>
      <c r="F231" s="31" t="s">
        <v>11</v>
      </c>
      <c r="G231" s="62">
        <v>180.3705326084156</v>
      </c>
      <c r="H231" s="33" t="s">
        <v>53</v>
      </c>
    </row>
    <row r="232" spans="1:8" ht="17.399999999999999" customHeight="1" x14ac:dyDescent="0.3">
      <c r="A232" s="34">
        <v>1</v>
      </c>
      <c r="B232" s="35">
        <v>45875</v>
      </c>
      <c r="C232" s="31" t="s">
        <v>50</v>
      </c>
      <c r="D232" s="31" t="s">
        <v>51</v>
      </c>
      <c r="E232" s="31" t="s">
        <v>52</v>
      </c>
      <c r="F232" s="31" t="s">
        <v>11</v>
      </c>
      <c r="G232" s="62">
        <v>128.83609472029684</v>
      </c>
      <c r="H232" s="33" t="s">
        <v>53</v>
      </c>
    </row>
    <row r="233" spans="1:8" ht="17.399999999999999" customHeight="1" x14ac:dyDescent="0.3">
      <c r="A233" s="34">
        <v>1</v>
      </c>
      <c r="B233" s="35">
        <v>45657</v>
      </c>
      <c r="C233" s="31" t="s">
        <v>50</v>
      </c>
      <c r="D233" s="31" t="s">
        <v>54</v>
      </c>
      <c r="E233" s="31" t="s">
        <v>52</v>
      </c>
      <c r="F233" s="31" t="s">
        <v>11</v>
      </c>
      <c r="G233" s="62">
        <v>138.49880182431912</v>
      </c>
      <c r="H233" s="33" t="s">
        <v>53</v>
      </c>
    </row>
    <row r="234" spans="1:8" ht="17.399999999999999" customHeight="1" x14ac:dyDescent="0.3">
      <c r="A234" s="34">
        <v>1</v>
      </c>
      <c r="B234" s="35">
        <v>45678</v>
      </c>
      <c r="C234" s="31" t="s">
        <v>50</v>
      </c>
      <c r="D234" s="31" t="s">
        <v>54</v>
      </c>
      <c r="E234" s="31" t="s">
        <v>52</v>
      </c>
      <c r="F234" s="31" t="s">
        <v>11</v>
      </c>
      <c r="G234" s="62">
        <v>103.06887577623746</v>
      </c>
      <c r="H234" s="33" t="s">
        <v>53</v>
      </c>
    </row>
    <row r="235" spans="1:8" ht="17.399999999999999" customHeight="1" x14ac:dyDescent="0.3">
      <c r="A235" s="34">
        <v>1</v>
      </c>
      <c r="B235" s="35">
        <v>45688</v>
      </c>
      <c r="C235" s="31" t="s">
        <v>50</v>
      </c>
      <c r="D235" s="31" t="s">
        <v>54</v>
      </c>
      <c r="E235" s="31" t="s">
        <v>52</v>
      </c>
      <c r="F235" s="31" t="s">
        <v>11</v>
      </c>
      <c r="G235" s="62">
        <v>128.83609472029684</v>
      </c>
      <c r="H235" s="33" t="s">
        <v>53</v>
      </c>
    </row>
    <row r="236" spans="1:8" ht="17.399999999999999" customHeight="1" x14ac:dyDescent="0.3">
      <c r="A236" s="34">
        <v>1</v>
      </c>
      <c r="B236" s="35">
        <v>45747</v>
      </c>
      <c r="C236" s="31" t="s">
        <v>50</v>
      </c>
      <c r="D236" s="31" t="s">
        <v>54</v>
      </c>
      <c r="E236" s="31" t="s">
        <v>52</v>
      </c>
      <c r="F236" s="31" t="s">
        <v>11</v>
      </c>
      <c r="G236" s="62">
        <v>80.522559200185526</v>
      </c>
      <c r="H236" s="33" t="s">
        <v>53</v>
      </c>
    </row>
    <row r="237" spans="1:8" ht="17.399999999999999" customHeight="1" x14ac:dyDescent="0.3">
      <c r="A237" s="34">
        <v>1</v>
      </c>
      <c r="B237" s="35">
        <v>45777</v>
      </c>
      <c r="C237" s="31" t="s">
        <v>50</v>
      </c>
      <c r="D237" s="31" t="s">
        <v>54</v>
      </c>
      <c r="E237" s="31" t="s">
        <v>52</v>
      </c>
      <c r="F237" s="31" t="s">
        <v>11</v>
      </c>
      <c r="G237" s="62">
        <v>148.16150892834139</v>
      </c>
      <c r="H237" s="33" t="s">
        <v>53</v>
      </c>
    </row>
    <row r="238" spans="1:8" ht="17.399999999999999" customHeight="1" x14ac:dyDescent="0.3">
      <c r="A238" s="34">
        <v>1</v>
      </c>
      <c r="B238" s="35">
        <v>45784</v>
      </c>
      <c r="C238" s="31" t="s">
        <v>50</v>
      </c>
      <c r="D238" s="31" t="s">
        <v>54</v>
      </c>
      <c r="E238" s="31" t="s">
        <v>52</v>
      </c>
      <c r="F238" s="31" t="s">
        <v>11</v>
      </c>
      <c r="G238" s="62">
        <v>77.301656832178111</v>
      </c>
      <c r="H238" s="33" t="s">
        <v>53</v>
      </c>
    </row>
    <row r="239" spans="1:8" ht="17.399999999999999" customHeight="1" x14ac:dyDescent="0.3">
      <c r="A239" s="34">
        <v>1</v>
      </c>
      <c r="B239" s="35">
        <v>45838</v>
      </c>
      <c r="C239" s="31" t="s">
        <v>50</v>
      </c>
      <c r="D239" s="31" t="s">
        <v>54</v>
      </c>
      <c r="E239" s="31" t="s">
        <v>52</v>
      </c>
      <c r="F239" s="31" t="s">
        <v>11</v>
      </c>
      <c r="G239" s="62">
        <v>64.418047360148421</v>
      </c>
      <c r="H239" s="33" t="s">
        <v>53</v>
      </c>
    </row>
    <row r="240" spans="1:8" ht="17.399999999999999" customHeight="1" x14ac:dyDescent="0.3">
      <c r="A240" s="34">
        <v>1</v>
      </c>
      <c r="B240" s="35">
        <v>45830</v>
      </c>
      <c r="C240" s="31" t="s">
        <v>50</v>
      </c>
      <c r="D240" s="31" t="s">
        <v>55</v>
      </c>
      <c r="E240" s="31" t="s">
        <v>52</v>
      </c>
      <c r="F240" s="31" t="s">
        <v>11</v>
      </c>
      <c r="G240" s="62">
        <v>128.83609472029684</v>
      </c>
      <c r="H240" s="33" t="s">
        <v>53</v>
      </c>
    </row>
    <row r="241" spans="1:8" ht="17.399999999999999" customHeight="1" x14ac:dyDescent="0.3">
      <c r="A241" s="5">
        <v>1</v>
      </c>
      <c r="B241" s="6">
        <v>45504</v>
      </c>
      <c r="C241" s="7" t="s">
        <v>19</v>
      </c>
      <c r="D241" s="8" t="s">
        <v>39</v>
      </c>
      <c r="E241" s="7" t="s">
        <v>40</v>
      </c>
      <c r="F241" s="7" t="s">
        <v>11</v>
      </c>
      <c r="G241" s="25">
        <v>267.67</v>
      </c>
      <c r="H241" s="8" t="s">
        <v>12</v>
      </c>
    </row>
    <row r="242" spans="1:8" ht="17.399999999999999" customHeight="1" x14ac:dyDescent="0.3">
      <c r="A242" s="5">
        <v>1</v>
      </c>
      <c r="B242" s="6">
        <v>45535</v>
      </c>
      <c r="C242" s="7" t="s">
        <v>19</v>
      </c>
      <c r="D242" s="8" t="s">
        <v>39</v>
      </c>
      <c r="E242" s="7" t="s">
        <v>40</v>
      </c>
      <c r="F242" s="7" t="s">
        <v>11</v>
      </c>
      <c r="G242" s="25">
        <v>28.869999999999997</v>
      </c>
      <c r="H242" s="8" t="s">
        <v>12</v>
      </c>
    </row>
    <row r="243" spans="1:8" ht="17.399999999999999" customHeight="1" x14ac:dyDescent="0.3">
      <c r="A243" s="5">
        <v>1</v>
      </c>
      <c r="B243" s="6">
        <v>45565</v>
      </c>
      <c r="C243" s="7" t="s">
        <v>19</v>
      </c>
      <c r="D243" s="8" t="s">
        <v>39</v>
      </c>
      <c r="E243" s="7" t="s">
        <v>40</v>
      </c>
      <c r="F243" s="7" t="s">
        <v>11</v>
      </c>
      <c r="G243" s="25">
        <v>72.47</v>
      </c>
      <c r="H243" s="8" t="s">
        <v>12</v>
      </c>
    </row>
    <row r="244" spans="1:8" ht="17.399999999999999" customHeight="1" x14ac:dyDescent="0.3">
      <c r="A244" s="5">
        <v>1</v>
      </c>
      <c r="B244" s="6">
        <v>45596</v>
      </c>
      <c r="C244" s="7" t="s">
        <v>19</v>
      </c>
      <c r="D244" s="8" t="s">
        <v>39</v>
      </c>
      <c r="E244" s="7" t="s">
        <v>40</v>
      </c>
      <c r="F244" s="7" t="s">
        <v>11</v>
      </c>
      <c r="G244" s="25">
        <v>26.92</v>
      </c>
      <c r="H244" s="8" t="s">
        <v>12</v>
      </c>
    </row>
    <row r="245" spans="1:8" ht="17.399999999999999" customHeight="1" x14ac:dyDescent="0.3">
      <c r="A245" s="5">
        <v>1</v>
      </c>
      <c r="B245" s="6">
        <v>45626</v>
      </c>
      <c r="C245" s="7" t="s">
        <v>19</v>
      </c>
      <c r="D245" s="8" t="s">
        <v>39</v>
      </c>
      <c r="E245" s="7" t="s">
        <v>40</v>
      </c>
      <c r="F245" s="7" t="s">
        <v>11</v>
      </c>
      <c r="G245" s="25">
        <v>50.83</v>
      </c>
      <c r="H245" s="8" t="s">
        <v>12</v>
      </c>
    </row>
    <row r="246" spans="1:8" ht="17.399999999999999" customHeight="1" x14ac:dyDescent="0.3">
      <c r="A246" s="5">
        <v>1</v>
      </c>
      <c r="B246" s="6">
        <v>45657</v>
      </c>
      <c r="C246" s="7" t="s">
        <v>19</v>
      </c>
      <c r="D246" s="8" t="s">
        <v>39</v>
      </c>
      <c r="E246" s="7" t="s">
        <v>40</v>
      </c>
      <c r="F246" s="7" t="s">
        <v>11</v>
      </c>
      <c r="G246" s="25">
        <v>107.53999999999999</v>
      </c>
      <c r="H246" s="8" t="s">
        <v>12</v>
      </c>
    </row>
    <row r="247" spans="1:8" ht="17.399999999999999" customHeight="1" x14ac:dyDescent="0.3">
      <c r="A247" s="5">
        <v>1</v>
      </c>
      <c r="B247" s="6">
        <v>45688</v>
      </c>
      <c r="C247" s="7" t="s">
        <v>19</v>
      </c>
      <c r="D247" s="8" t="s">
        <v>39</v>
      </c>
      <c r="E247" s="7" t="s">
        <v>40</v>
      </c>
      <c r="F247" s="7" t="s">
        <v>11</v>
      </c>
      <c r="G247" s="26">
        <v>104.77</v>
      </c>
      <c r="H247" s="8" t="s">
        <v>12</v>
      </c>
    </row>
    <row r="248" spans="1:8" ht="17.399999999999999" customHeight="1" x14ac:dyDescent="0.3">
      <c r="A248" s="5">
        <v>1</v>
      </c>
      <c r="B248" s="6">
        <v>45716</v>
      </c>
      <c r="C248" s="7" t="s">
        <v>19</v>
      </c>
      <c r="D248" s="8" t="s">
        <v>39</v>
      </c>
      <c r="E248" s="7" t="s">
        <v>40</v>
      </c>
      <c r="F248" s="7" t="s">
        <v>11</v>
      </c>
      <c r="G248" s="26">
        <v>-261.26</v>
      </c>
      <c r="H248" s="8" t="s">
        <v>12</v>
      </c>
    </row>
    <row r="249" spans="1:8" ht="17.399999999999999" customHeight="1" x14ac:dyDescent="0.3">
      <c r="A249" s="5">
        <v>1</v>
      </c>
      <c r="B249" s="6">
        <v>45747</v>
      </c>
      <c r="C249" s="7" t="s">
        <v>19</v>
      </c>
      <c r="D249" s="8" t="s">
        <v>39</v>
      </c>
      <c r="E249" s="7" t="s">
        <v>40</v>
      </c>
      <c r="F249" s="7" t="s">
        <v>11</v>
      </c>
      <c r="G249" s="26">
        <v>-54.55</v>
      </c>
      <c r="H249" s="8" t="s">
        <v>12</v>
      </c>
    </row>
    <row r="250" spans="1:8" ht="17.399999999999999" customHeight="1" x14ac:dyDescent="0.3">
      <c r="A250" s="5">
        <v>1</v>
      </c>
      <c r="B250" s="6">
        <v>45777</v>
      </c>
      <c r="C250" s="7" t="s">
        <v>19</v>
      </c>
      <c r="D250" s="8" t="s">
        <v>39</v>
      </c>
      <c r="E250" s="7" t="s">
        <v>40</v>
      </c>
      <c r="F250" s="7" t="s">
        <v>11</v>
      </c>
      <c r="G250" s="26">
        <v>110.52999999999999</v>
      </c>
      <c r="H250" s="8" t="s">
        <v>12</v>
      </c>
    </row>
    <row r="251" spans="1:8" ht="17.399999999999999" customHeight="1" x14ac:dyDescent="0.3">
      <c r="A251" s="5">
        <v>1</v>
      </c>
      <c r="B251" s="6">
        <v>45808</v>
      </c>
      <c r="C251" s="7" t="s">
        <v>19</v>
      </c>
      <c r="D251" s="8" t="s">
        <v>39</v>
      </c>
      <c r="E251" s="7" t="s">
        <v>40</v>
      </c>
      <c r="F251" s="7" t="s">
        <v>11</v>
      </c>
      <c r="G251" s="26">
        <v>134.01</v>
      </c>
      <c r="H251" s="8" t="s">
        <v>12</v>
      </c>
    </row>
    <row r="252" spans="1:8" ht="17.399999999999999" customHeight="1" x14ac:dyDescent="0.3">
      <c r="A252" s="5">
        <v>1</v>
      </c>
      <c r="B252" s="6">
        <v>45838</v>
      </c>
      <c r="C252" s="7" t="s">
        <v>19</v>
      </c>
      <c r="D252" s="8" t="s">
        <v>39</v>
      </c>
      <c r="E252" s="7" t="s">
        <v>40</v>
      </c>
      <c r="F252" s="7" t="s">
        <v>11</v>
      </c>
      <c r="G252" s="26">
        <v>84.68</v>
      </c>
      <c r="H252" s="8" t="s">
        <v>12</v>
      </c>
    </row>
    <row r="253" spans="1:8" ht="17.399999999999999" customHeight="1" x14ac:dyDescent="0.3">
      <c r="A253" s="5">
        <v>1</v>
      </c>
      <c r="B253" s="6">
        <v>45869</v>
      </c>
      <c r="C253" s="7" t="s">
        <v>19</v>
      </c>
      <c r="D253" s="8" t="s">
        <v>39</v>
      </c>
      <c r="E253" s="7" t="s">
        <v>40</v>
      </c>
      <c r="F253" s="7" t="s">
        <v>11</v>
      </c>
      <c r="G253" s="26">
        <v>101.15999999999998</v>
      </c>
      <c r="H253" s="8" t="s">
        <v>12</v>
      </c>
    </row>
    <row r="254" spans="1:8" ht="17.399999999999999" customHeight="1" x14ac:dyDescent="0.3">
      <c r="A254" s="5">
        <v>1</v>
      </c>
      <c r="B254" s="6">
        <v>45900</v>
      </c>
      <c r="C254" s="7" t="s">
        <v>19</v>
      </c>
      <c r="D254" s="8" t="s">
        <v>39</v>
      </c>
      <c r="E254" s="7" t="s">
        <v>40</v>
      </c>
      <c r="F254" s="7" t="s">
        <v>11</v>
      </c>
      <c r="G254" s="26">
        <v>94</v>
      </c>
      <c r="H254" s="8" t="s">
        <v>12</v>
      </c>
    </row>
    <row r="255" spans="1:8" ht="17.399999999999999" customHeight="1" x14ac:dyDescent="0.3">
      <c r="A255" s="5">
        <v>1</v>
      </c>
      <c r="B255" s="6">
        <v>45930</v>
      </c>
      <c r="C255" s="7" t="s">
        <v>19</v>
      </c>
      <c r="D255" s="8" t="s">
        <v>39</v>
      </c>
      <c r="E255" s="7" t="s">
        <v>40</v>
      </c>
      <c r="F255" s="7" t="s">
        <v>11</v>
      </c>
      <c r="G255" s="25">
        <v>100</v>
      </c>
      <c r="H255" s="8" t="s">
        <v>12</v>
      </c>
    </row>
    <row r="256" spans="1:8" ht="17.399999999999999" customHeight="1" x14ac:dyDescent="0.3">
      <c r="A256" s="34">
        <v>1</v>
      </c>
      <c r="B256" s="35">
        <v>44773</v>
      </c>
      <c r="C256" s="31" t="s">
        <v>50</v>
      </c>
      <c r="D256" s="32" t="s">
        <v>63</v>
      </c>
      <c r="E256" s="31" t="s">
        <v>40</v>
      </c>
      <c r="F256" s="31" t="s">
        <v>11</v>
      </c>
      <c r="G256" s="62">
        <v>24.893401015228427</v>
      </c>
      <c r="H256" s="32" t="s">
        <v>53</v>
      </c>
    </row>
    <row r="257" spans="1:8" ht="17.399999999999999" customHeight="1" x14ac:dyDescent="0.3">
      <c r="A257" s="34">
        <v>1</v>
      </c>
      <c r="B257" s="50">
        <v>44834</v>
      </c>
      <c r="C257" s="31" t="s">
        <v>50</v>
      </c>
      <c r="D257" s="32" t="s">
        <v>63</v>
      </c>
      <c r="E257" s="31" t="s">
        <v>40</v>
      </c>
      <c r="F257" s="31" t="s">
        <v>11</v>
      </c>
      <c r="G257" s="62">
        <v>264.56852791878174</v>
      </c>
      <c r="H257" s="32" t="s">
        <v>53</v>
      </c>
    </row>
    <row r="258" spans="1:8" ht="17.399999999999999" customHeight="1" x14ac:dyDescent="0.3">
      <c r="A258" s="34">
        <v>1</v>
      </c>
      <c r="B258" s="50">
        <v>44957</v>
      </c>
      <c r="C258" s="31" t="s">
        <v>50</v>
      </c>
      <c r="D258" s="32" t="s">
        <v>63</v>
      </c>
      <c r="E258" s="31" t="s">
        <v>40</v>
      </c>
      <c r="F258" s="31" t="s">
        <v>11</v>
      </c>
      <c r="G258" s="62">
        <v>716.90862944162438</v>
      </c>
      <c r="H258" s="48" t="s">
        <v>53</v>
      </c>
    </row>
    <row r="259" spans="1:8" ht="17.399999999999999" customHeight="1" x14ac:dyDescent="0.3">
      <c r="A259" s="34">
        <v>1</v>
      </c>
      <c r="B259" s="50">
        <v>45016</v>
      </c>
      <c r="C259" s="31" t="s">
        <v>50</v>
      </c>
      <c r="D259" s="31" t="s">
        <v>63</v>
      </c>
      <c r="E259" s="31" t="s">
        <v>40</v>
      </c>
      <c r="F259" s="31" t="s">
        <v>11</v>
      </c>
      <c r="G259" s="62">
        <v>1147.4213197969543</v>
      </c>
      <c r="H259" s="33" t="s">
        <v>53</v>
      </c>
    </row>
    <row r="260" spans="1:8" ht="17.399999999999999" customHeight="1" x14ac:dyDescent="0.3">
      <c r="A260" s="34">
        <v>1</v>
      </c>
      <c r="B260" s="50">
        <v>45077</v>
      </c>
      <c r="C260" s="31" t="s">
        <v>50</v>
      </c>
      <c r="D260" s="31" t="s">
        <v>63</v>
      </c>
      <c r="E260" s="31" t="s">
        <v>40</v>
      </c>
      <c r="F260" s="31" t="s">
        <v>11</v>
      </c>
      <c r="G260" s="62">
        <v>497.5634517766498</v>
      </c>
      <c r="H260" s="33" t="s">
        <v>53</v>
      </c>
    </row>
    <row r="261" spans="1:8" ht="17.399999999999999" customHeight="1" x14ac:dyDescent="0.3">
      <c r="A261" s="34">
        <v>1</v>
      </c>
      <c r="B261" s="50">
        <v>45169</v>
      </c>
      <c r="C261" s="31" t="s">
        <v>50</v>
      </c>
      <c r="D261" s="31" t="s">
        <v>63</v>
      </c>
      <c r="E261" s="31" t="s">
        <v>40</v>
      </c>
      <c r="F261" s="31" t="s">
        <v>11</v>
      </c>
      <c r="G261" s="62">
        <v>1500.7309644670052</v>
      </c>
      <c r="H261" s="33" t="s">
        <v>53</v>
      </c>
    </row>
    <row r="262" spans="1:8" ht="17.399999999999999" customHeight="1" x14ac:dyDescent="0.3">
      <c r="A262" s="34">
        <v>1</v>
      </c>
      <c r="B262" s="50">
        <v>45350</v>
      </c>
      <c r="C262" s="31" t="s">
        <v>50</v>
      </c>
      <c r="D262" s="31" t="s">
        <v>63</v>
      </c>
      <c r="E262" s="31" t="s">
        <v>40</v>
      </c>
      <c r="F262" s="31" t="s">
        <v>11</v>
      </c>
      <c r="G262" s="62">
        <v>152.28426395939087</v>
      </c>
      <c r="H262" s="33" t="s">
        <v>53</v>
      </c>
    </row>
    <row r="263" spans="1:8" ht="17.399999999999999" customHeight="1" x14ac:dyDescent="0.3">
      <c r="A263" s="34">
        <v>1</v>
      </c>
      <c r="B263" s="50">
        <v>45382</v>
      </c>
      <c r="C263" s="31" t="s">
        <v>50</v>
      </c>
      <c r="D263" s="31" t="s">
        <v>63</v>
      </c>
      <c r="E263" s="31" t="s">
        <v>40</v>
      </c>
      <c r="F263" s="31" t="s">
        <v>11</v>
      </c>
      <c r="G263" s="62">
        <v>488.57868020304568</v>
      </c>
      <c r="H263" s="33" t="s">
        <v>53</v>
      </c>
    </row>
    <row r="264" spans="1:8" ht="17.399999999999999" customHeight="1" x14ac:dyDescent="0.3">
      <c r="A264" s="5">
        <v>1</v>
      </c>
      <c r="B264" s="6">
        <v>45504</v>
      </c>
      <c r="C264" s="7" t="s">
        <v>19</v>
      </c>
      <c r="D264" s="8" t="s">
        <v>41</v>
      </c>
      <c r="E264" s="7" t="s">
        <v>42</v>
      </c>
      <c r="F264" s="7" t="s">
        <v>11</v>
      </c>
      <c r="G264" s="25">
        <v>41.910000000000004</v>
      </c>
      <c r="H264" s="8" t="s">
        <v>12</v>
      </c>
    </row>
    <row r="265" spans="1:8" ht="17.399999999999999" customHeight="1" x14ac:dyDescent="0.3">
      <c r="A265" s="5">
        <v>1</v>
      </c>
      <c r="B265" s="6">
        <v>45535</v>
      </c>
      <c r="C265" s="7" t="s">
        <v>19</v>
      </c>
      <c r="D265" s="8" t="s">
        <v>41</v>
      </c>
      <c r="E265" s="7" t="s">
        <v>42</v>
      </c>
      <c r="F265" s="7" t="s">
        <v>11</v>
      </c>
      <c r="G265" s="25">
        <v>22.11</v>
      </c>
      <c r="H265" s="8" t="s">
        <v>12</v>
      </c>
    </row>
    <row r="266" spans="1:8" x14ac:dyDescent="0.3">
      <c r="A266" s="5">
        <v>1</v>
      </c>
      <c r="B266" s="6">
        <v>45900</v>
      </c>
      <c r="C266" s="7" t="s">
        <v>19</v>
      </c>
      <c r="D266" s="8" t="s">
        <v>41</v>
      </c>
      <c r="E266" s="7" t="s">
        <v>42</v>
      </c>
      <c r="F266" s="7" t="s">
        <v>11</v>
      </c>
      <c r="G266" s="26">
        <v>6.9</v>
      </c>
      <c r="H266" s="8" t="s">
        <v>12</v>
      </c>
    </row>
    <row r="267" spans="1:8" x14ac:dyDescent="0.3">
      <c r="A267" s="5">
        <v>1</v>
      </c>
      <c r="B267" s="6">
        <v>45458</v>
      </c>
      <c r="C267" s="7" t="s">
        <v>8</v>
      </c>
      <c r="D267" s="8" t="s">
        <v>43</v>
      </c>
      <c r="E267" s="7" t="s">
        <v>10</v>
      </c>
      <c r="F267" s="7" t="s">
        <v>11</v>
      </c>
      <c r="G267" s="25">
        <v>303.49</v>
      </c>
      <c r="H267" s="8" t="s">
        <v>12</v>
      </c>
    </row>
    <row r="268" spans="1:8" x14ac:dyDescent="0.3">
      <c r="A268" s="5">
        <v>1</v>
      </c>
      <c r="B268" s="6">
        <v>45508</v>
      </c>
      <c r="C268" s="7" t="s">
        <v>8</v>
      </c>
      <c r="D268" s="8" t="s">
        <v>43</v>
      </c>
      <c r="E268" s="7" t="s">
        <v>10</v>
      </c>
      <c r="F268" s="7" t="s">
        <v>11</v>
      </c>
      <c r="G268" s="25">
        <v>300</v>
      </c>
      <c r="H268" s="8" t="s">
        <v>12</v>
      </c>
    </row>
    <row r="269" spans="1:8" x14ac:dyDescent="0.3">
      <c r="A269" s="5">
        <v>1</v>
      </c>
      <c r="B269" s="6">
        <v>45565</v>
      </c>
      <c r="C269" s="7" t="s">
        <v>19</v>
      </c>
      <c r="D269" s="8" t="s">
        <v>44</v>
      </c>
      <c r="E269" s="7" t="s">
        <v>45</v>
      </c>
      <c r="F269" s="7" t="s">
        <v>11</v>
      </c>
      <c r="G269" s="25">
        <v>29.87</v>
      </c>
      <c r="H269" s="8" t="s">
        <v>12</v>
      </c>
    </row>
    <row r="270" spans="1:8" x14ac:dyDescent="0.3">
      <c r="A270" s="5">
        <v>1</v>
      </c>
      <c r="B270" s="6">
        <v>45596</v>
      </c>
      <c r="C270" s="7" t="s">
        <v>19</v>
      </c>
      <c r="D270" s="8" t="s">
        <v>44</v>
      </c>
      <c r="E270" s="7" t="s">
        <v>45</v>
      </c>
      <c r="F270" s="7" t="s">
        <v>11</v>
      </c>
      <c r="G270" s="25">
        <v>17.560000000000002</v>
      </c>
      <c r="H270" s="8" t="s">
        <v>12</v>
      </c>
    </row>
    <row r="271" spans="1:8" x14ac:dyDescent="0.3">
      <c r="A271" s="5">
        <v>1</v>
      </c>
      <c r="B271" s="6">
        <v>45626</v>
      </c>
      <c r="C271" s="7" t="s">
        <v>19</v>
      </c>
      <c r="D271" s="8" t="s">
        <v>44</v>
      </c>
      <c r="E271" s="7" t="s">
        <v>45</v>
      </c>
      <c r="F271" s="7" t="s">
        <v>11</v>
      </c>
      <c r="G271" s="25">
        <v>5.59</v>
      </c>
      <c r="H271" s="8" t="s">
        <v>12</v>
      </c>
    </row>
    <row r="272" spans="1:8" x14ac:dyDescent="0.3">
      <c r="A272" s="5">
        <v>1</v>
      </c>
      <c r="B272" s="6">
        <v>45657</v>
      </c>
      <c r="C272" s="7" t="s">
        <v>19</v>
      </c>
      <c r="D272" s="8" t="s">
        <v>44</v>
      </c>
      <c r="E272" s="7" t="s">
        <v>45</v>
      </c>
      <c r="F272" s="7" t="s">
        <v>11</v>
      </c>
      <c r="G272" s="25">
        <v>52.92</v>
      </c>
      <c r="H272" s="8" t="s">
        <v>12</v>
      </c>
    </row>
    <row r="273" spans="1:8" x14ac:dyDescent="0.3">
      <c r="A273" s="5">
        <v>1</v>
      </c>
      <c r="B273" s="6">
        <v>45688</v>
      </c>
      <c r="C273" s="7" t="s">
        <v>19</v>
      </c>
      <c r="D273" s="8" t="s">
        <v>44</v>
      </c>
      <c r="E273" s="7" t="s">
        <v>45</v>
      </c>
      <c r="F273" s="7" t="s">
        <v>11</v>
      </c>
      <c r="G273" s="26">
        <v>33.71</v>
      </c>
      <c r="H273" s="8" t="s">
        <v>12</v>
      </c>
    </row>
    <row r="274" spans="1:8" x14ac:dyDescent="0.3">
      <c r="A274" s="5">
        <v>1</v>
      </c>
      <c r="B274" s="6">
        <v>45716</v>
      </c>
      <c r="C274" s="7" t="s">
        <v>19</v>
      </c>
      <c r="D274" s="8" t="s">
        <v>44</v>
      </c>
      <c r="E274" s="7" t="s">
        <v>45</v>
      </c>
      <c r="F274" s="7" t="s">
        <v>11</v>
      </c>
      <c r="G274" s="26">
        <v>9.65</v>
      </c>
      <c r="H274" s="8" t="s">
        <v>12</v>
      </c>
    </row>
    <row r="275" spans="1:8" x14ac:dyDescent="0.3">
      <c r="A275" s="5">
        <v>1</v>
      </c>
      <c r="B275" s="6">
        <v>45777</v>
      </c>
      <c r="C275" s="7" t="s">
        <v>19</v>
      </c>
      <c r="D275" s="8" t="s">
        <v>44</v>
      </c>
      <c r="E275" s="7" t="s">
        <v>45</v>
      </c>
      <c r="F275" s="7" t="s">
        <v>11</v>
      </c>
      <c r="G275" s="26">
        <v>54.209999999999994</v>
      </c>
      <c r="H275" s="8" t="s">
        <v>12</v>
      </c>
    </row>
    <row r="276" spans="1:8" x14ac:dyDescent="0.3">
      <c r="A276" s="5">
        <v>1</v>
      </c>
      <c r="B276" s="6">
        <v>45808</v>
      </c>
      <c r="C276" s="7" t="s">
        <v>19</v>
      </c>
      <c r="D276" s="8" t="s">
        <v>44</v>
      </c>
      <c r="E276" s="7" t="s">
        <v>45</v>
      </c>
      <c r="F276" s="7" t="s">
        <v>11</v>
      </c>
      <c r="G276" s="26">
        <v>38.57</v>
      </c>
      <c r="H276" s="8" t="s">
        <v>12</v>
      </c>
    </row>
    <row r="277" spans="1:8" x14ac:dyDescent="0.3">
      <c r="A277" s="5">
        <v>1</v>
      </c>
      <c r="B277" s="6">
        <v>45838</v>
      </c>
      <c r="C277" s="7" t="s">
        <v>19</v>
      </c>
      <c r="D277" s="8" t="s">
        <v>44</v>
      </c>
      <c r="E277" s="7" t="s">
        <v>45</v>
      </c>
      <c r="F277" s="7" t="s">
        <v>11</v>
      </c>
      <c r="G277" s="26">
        <v>29.22</v>
      </c>
      <c r="H277" s="8" t="s">
        <v>12</v>
      </c>
    </row>
    <row r="278" spans="1:8" x14ac:dyDescent="0.3">
      <c r="A278" s="5">
        <v>1</v>
      </c>
      <c r="B278" s="6">
        <v>45869</v>
      </c>
      <c r="C278" s="7" t="s">
        <v>19</v>
      </c>
      <c r="D278" s="8" t="s">
        <v>44</v>
      </c>
      <c r="E278" s="7" t="s">
        <v>45</v>
      </c>
      <c r="F278" s="7" t="s">
        <v>11</v>
      </c>
      <c r="G278" s="26">
        <v>28.8</v>
      </c>
      <c r="H278" s="8" t="s">
        <v>12</v>
      </c>
    </row>
    <row r="279" spans="1:8" x14ac:dyDescent="0.3">
      <c r="A279" s="5">
        <v>1</v>
      </c>
      <c r="B279" s="6">
        <v>45900</v>
      </c>
      <c r="C279" s="7" t="s">
        <v>19</v>
      </c>
      <c r="D279" s="8" t="s">
        <v>44</v>
      </c>
      <c r="E279" s="7" t="s">
        <v>45</v>
      </c>
      <c r="F279" s="7" t="s">
        <v>11</v>
      </c>
      <c r="G279" s="26">
        <v>23.61</v>
      </c>
      <c r="H279" s="8" t="s">
        <v>12</v>
      </c>
    </row>
    <row r="280" spans="1:8" x14ac:dyDescent="0.3">
      <c r="A280" s="12">
        <v>1</v>
      </c>
      <c r="B280" s="6">
        <v>45930</v>
      </c>
      <c r="C280" s="7" t="s">
        <v>19</v>
      </c>
      <c r="D280" s="8" t="s">
        <v>44</v>
      </c>
      <c r="E280" s="7" t="s">
        <v>45</v>
      </c>
      <c r="F280" s="7" t="s">
        <v>11</v>
      </c>
      <c r="G280" s="25">
        <v>0</v>
      </c>
      <c r="H280" s="8" t="s">
        <v>12</v>
      </c>
    </row>
    <row r="281" spans="1:8" x14ac:dyDescent="0.3">
      <c r="A281" s="5">
        <v>1</v>
      </c>
      <c r="B281" s="6">
        <v>45402</v>
      </c>
      <c r="C281" s="7" t="s">
        <v>8</v>
      </c>
      <c r="D281" s="8" t="s">
        <v>46</v>
      </c>
      <c r="E281" s="7" t="s">
        <v>10</v>
      </c>
      <c r="F281" s="7" t="s">
        <v>11</v>
      </c>
      <c r="G281" s="25">
        <v>54.9</v>
      </c>
      <c r="H281" s="8" t="s">
        <v>12</v>
      </c>
    </row>
    <row r="282" spans="1:8" x14ac:dyDescent="0.3">
      <c r="A282" s="5">
        <v>1</v>
      </c>
      <c r="B282" s="6">
        <v>45504</v>
      </c>
      <c r="C282" s="7" t="s">
        <v>19</v>
      </c>
      <c r="D282" s="8" t="s">
        <v>47</v>
      </c>
      <c r="E282" s="7" t="s">
        <v>48</v>
      </c>
      <c r="F282" s="7" t="s">
        <v>11</v>
      </c>
      <c r="G282" s="25">
        <v>22.75</v>
      </c>
      <c r="H282" s="8" t="s">
        <v>12</v>
      </c>
    </row>
    <row r="283" spans="1:8" x14ac:dyDescent="0.3">
      <c r="A283" s="5">
        <v>1</v>
      </c>
      <c r="B283" s="6">
        <v>45535</v>
      </c>
      <c r="C283" s="7" t="s">
        <v>19</v>
      </c>
      <c r="D283" s="8" t="s">
        <v>47</v>
      </c>
      <c r="E283" s="7" t="s">
        <v>48</v>
      </c>
      <c r="F283" s="7" t="s">
        <v>11</v>
      </c>
      <c r="G283" s="25">
        <v>136.65</v>
      </c>
      <c r="H283" s="8" t="s">
        <v>12</v>
      </c>
    </row>
    <row r="284" spans="1:8" x14ac:dyDescent="0.3">
      <c r="A284" s="5">
        <v>1</v>
      </c>
      <c r="B284" s="6">
        <v>45565</v>
      </c>
      <c r="C284" s="7" t="s">
        <v>19</v>
      </c>
      <c r="D284" s="8" t="s">
        <v>47</v>
      </c>
      <c r="E284" s="7" t="s">
        <v>48</v>
      </c>
      <c r="F284" s="7" t="s">
        <v>11</v>
      </c>
      <c r="G284" s="25">
        <v>138.78</v>
      </c>
      <c r="H284" s="8" t="s">
        <v>12</v>
      </c>
    </row>
    <row r="285" spans="1:8" x14ac:dyDescent="0.3">
      <c r="A285" s="5">
        <v>1</v>
      </c>
      <c r="B285" s="6">
        <v>45596</v>
      </c>
      <c r="C285" s="7" t="s">
        <v>19</v>
      </c>
      <c r="D285" s="8" t="s">
        <v>47</v>
      </c>
      <c r="E285" s="7" t="s">
        <v>48</v>
      </c>
      <c r="F285" s="7" t="s">
        <v>11</v>
      </c>
      <c r="G285" s="25">
        <v>565.41000000000008</v>
      </c>
      <c r="H285" s="8" t="s">
        <v>12</v>
      </c>
    </row>
    <row r="286" spans="1:8" x14ac:dyDescent="0.3">
      <c r="A286" s="5">
        <v>1</v>
      </c>
      <c r="B286" s="6">
        <v>45626</v>
      </c>
      <c r="C286" s="7" t="s">
        <v>19</v>
      </c>
      <c r="D286" s="8" t="s">
        <v>47</v>
      </c>
      <c r="E286" s="7" t="s">
        <v>48</v>
      </c>
      <c r="F286" s="7" t="s">
        <v>11</v>
      </c>
      <c r="G286" s="25">
        <v>276.43</v>
      </c>
      <c r="H286" s="8" t="s">
        <v>12</v>
      </c>
    </row>
    <row r="287" spans="1:8" x14ac:dyDescent="0.3">
      <c r="A287" s="5">
        <v>1</v>
      </c>
      <c r="B287" s="6">
        <v>45657</v>
      </c>
      <c r="C287" s="7" t="s">
        <v>19</v>
      </c>
      <c r="D287" s="8" t="s">
        <v>47</v>
      </c>
      <c r="E287" s="7" t="s">
        <v>48</v>
      </c>
      <c r="F287" s="7" t="s">
        <v>11</v>
      </c>
      <c r="G287" s="25">
        <v>85.5</v>
      </c>
      <c r="H287" s="8" t="s">
        <v>12</v>
      </c>
    </row>
    <row r="288" spans="1:8" x14ac:dyDescent="0.3">
      <c r="A288" s="5">
        <v>1</v>
      </c>
      <c r="B288" s="6">
        <v>45688</v>
      </c>
      <c r="C288" s="7" t="s">
        <v>19</v>
      </c>
      <c r="D288" s="8" t="s">
        <v>47</v>
      </c>
      <c r="E288" s="7" t="s">
        <v>48</v>
      </c>
      <c r="F288" s="7" t="s">
        <v>11</v>
      </c>
      <c r="G288" s="26">
        <v>100.47</v>
      </c>
      <c r="H288" s="8" t="s">
        <v>12</v>
      </c>
    </row>
    <row r="289" spans="1:13" x14ac:dyDescent="0.3">
      <c r="A289" s="5">
        <v>1</v>
      </c>
      <c r="B289" s="6">
        <v>45716</v>
      </c>
      <c r="C289" s="7" t="s">
        <v>19</v>
      </c>
      <c r="D289" s="8" t="s">
        <v>47</v>
      </c>
      <c r="E289" s="7" t="s">
        <v>48</v>
      </c>
      <c r="F289" s="7" t="s">
        <v>11</v>
      </c>
      <c r="G289" s="26">
        <v>348.63</v>
      </c>
      <c r="H289" s="8" t="s">
        <v>12</v>
      </c>
    </row>
    <row r="290" spans="1:13" x14ac:dyDescent="0.3">
      <c r="A290" s="5">
        <v>1</v>
      </c>
      <c r="B290" s="6">
        <v>45747</v>
      </c>
      <c r="C290" s="7" t="s">
        <v>19</v>
      </c>
      <c r="D290" s="8" t="s">
        <v>47</v>
      </c>
      <c r="E290" s="7" t="s">
        <v>48</v>
      </c>
      <c r="F290" s="7" t="s">
        <v>11</v>
      </c>
      <c r="G290" s="26">
        <v>381.3</v>
      </c>
      <c r="H290" s="8" t="s">
        <v>12</v>
      </c>
    </row>
    <row r="291" spans="1:13" x14ac:dyDescent="0.3">
      <c r="A291" s="5">
        <v>1</v>
      </c>
      <c r="B291" s="6">
        <v>45777</v>
      </c>
      <c r="C291" s="7" t="s">
        <v>19</v>
      </c>
      <c r="D291" s="8" t="s">
        <v>47</v>
      </c>
      <c r="E291" s="7" t="s">
        <v>48</v>
      </c>
      <c r="F291" s="7" t="s">
        <v>11</v>
      </c>
      <c r="G291" s="26">
        <v>201.54000000000002</v>
      </c>
      <c r="H291" s="8" t="s">
        <v>12</v>
      </c>
    </row>
    <row r="292" spans="1:13" x14ac:dyDescent="0.3">
      <c r="A292" s="5">
        <v>1</v>
      </c>
      <c r="B292" s="6">
        <v>45808</v>
      </c>
      <c r="C292" s="7" t="s">
        <v>19</v>
      </c>
      <c r="D292" s="8" t="s">
        <v>47</v>
      </c>
      <c r="E292" s="7" t="s">
        <v>48</v>
      </c>
      <c r="F292" s="7" t="s">
        <v>11</v>
      </c>
      <c r="G292" s="26">
        <v>341.1</v>
      </c>
      <c r="H292" s="8" t="s">
        <v>12</v>
      </c>
    </row>
    <row r="293" spans="1:13" x14ac:dyDescent="0.3">
      <c r="A293" s="5">
        <v>1</v>
      </c>
      <c r="B293" s="6">
        <v>45838</v>
      </c>
      <c r="C293" s="7" t="s">
        <v>19</v>
      </c>
      <c r="D293" s="8" t="s">
        <v>47</v>
      </c>
      <c r="E293" s="7" t="s">
        <v>48</v>
      </c>
      <c r="F293" s="7" t="s">
        <v>11</v>
      </c>
      <c r="G293" s="26">
        <v>348.8</v>
      </c>
      <c r="H293" s="8" t="s">
        <v>12</v>
      </c>
    </row>
    <row r="294" spans="1:13" x14ac:dyDescent="0.3">
      <c r="A294" s="5">
        <v>1</v>
      </c>
      <c r="B294" s="6">
        <v>45869</v>
      </c>
      <c r="C294" s="7" t="s">
        <v>19</v>
      </c>
      <c r="D294" s="8" t="s">
        <v>47</v>
      </c>
      <c r="E294" s="7" t="s">
        <v>48</v>
      </c>
      <c r="F294" s="7" t="s">
        <v>11</v>
      </c>
      <c r="G294" s="26">
        <v>501.34000000000003</v>
      </c>
      <c r="H294" s="8" t="s">
        <v>12</v>
      </c>
    </row>
    <row r="295" spans="1:13" x14ac:dyDescent="0.3">
      <c r="A295" s="5">
        <v>1</v>
      </c>
      <c r="B295" s="6">
        <v>45900</v>
      </c>
      <c r="C295" s="7" t="s">
        <v>19</v>
      </c>
      <c r="D295" s="8" t="s">
        <v>47</v>
      </c>
      <c r="E295" s="7" t="s">
        <v>48</v>
      </c>
      <c r="F295" s="7" t="s">
        <v>11</v>
      </c>
      <c r="G295" s="26">
        <v>449.19</v>
      </c>
      <c r="H295" s="8" t="s">
        <v>12</v>
      </c>
    </row>
    <row r="296" spans="1:13" x14ac:dyDescent="0.3">
      <c r="A296" s="12">
        <v>1</v>
      </c>
      <c r="B296" s="6">
        <v>45930</v>
      </c>
      <c r="C296" s="7" t="s">
        <v>19</v>
      </c>
      <c r="D296" s="8" t="s">
        <v>47</v>
      </c>
      <c r="E296" s="7" t="s">
        <v>48</v>
      </c>
      <c r="F296" s="7" t="s">
        <v>11</v>
      </c>
      <c r="G296" s="25">
        <v>0</v>
      </c>
      <c r="H296" s="8" t="s">
        <v>12</v>
      </c>
    </row>
    <row r="297" spans="1:13" x14ac:dyDescent="0.3">
      <c r="A297" s="34">
        <v>1</v>
      </c>
      <c r="B297" s="50">
        <v>45322</v>
      </c>
      <c r="C297" s="31" t="s">
        <v>50</v>
      </c>
      <c r="D297" s="31" t="s">
        <v>67</v>
      </c>
      <c r="E297" s="31" t="s">
        <v>48</v>
      </c>
      <c r="F297" s="31" t="s">
        <v>11</v>
      </c>
      <c r="G297" s="62">
        <v>345.15228426395942</v>
      </c>
      <c r="H297" s="33" t="s">
        <v>53</v>
      </c>
    </row>
    <row r="298" spans="1:13" x14ac:dyDescent="0.3">
      <c r="A298" s="34">
        <v>1</v>
      </c>
      <c r="B298" s="35">
        <v>44470</v>
      </c>
      <c r="C298" s="31" t="s">
        <v>50</v>
      </c>
      <c r="D298" s="32" t="s">
        <v>59</v>
      </c>
      <c r="E298" s="31" t="s">
        <v>40</v>
      </c>
      <c r="F298" s="31" t="s">
        <v>11</v>
      </c>
      <c r="G298" s="62">
        <v>318.7817258883249</v>
      </c>
      <c r="H298" s="32" t="s">
        <v>53</v>
      </c>
    </row>
    <row r="299" spans="1:13" x14ac:dyDescent="0.3">
      <c r="A299" s="5">
        <v>1</v>
      </c>
      <c r="B299" s="6">
        <v>45496</v>
      </c>
      <c r="C299" s="7" t="s">
        <v>8</v>
      </c>
      <c r="D299" s="8" t="s">
        <v>49</v>
      </c>
      <c r="E299" s="7" t="s">
        <v>10</v>
      </c>
      <c r="F299" s="7" t="s">
        <v>11</v>
      </c>
      <c r="G299" s="25">
        <v>100</v>
      </c>
      <c r="H299" s="8" t="s">
        <v>12</v>
      </c>
    </row>
    <row r="300" spans="1:13" x14ac:dyDescent="0.3">
      <c r="A300" s="34">
        <v>1</v>
      </c>
      <c r="B300" s="35">
        <v>45443</v>
      </c>
      <c r="C300" s="31" t="s">
        <v>56</v>
      </c>
      <c r="D300" s="31" t="s">
        <v>56</v>
      </c>
      <c r="E300" s="31" t="s">
        <v>52</v>
      </c>
      <c r="F300" s="31" t="s">
        <v>11</v>
      </c>
      <c r="G300" s="62">
        <v>128.83609472029684</v>
      </c>
      <c r="H300" s="33" t="s">
        <v>53</v>
      </c>
      <c r="M300" s="62"/>
    </row>
    <row r="301" spans="1:13" x14ac:dyDescent="0.3">
      <c r="A301" s="34">
        <v>1</v>
      </c>
      <c r="B301" s="35">
        <v>45626</v>
      </c>
      <c r="C301" s="31" t="s">
        <v>56</v>
      </c>
      <c r="D301" s="31" t="s">
        <v>56</v>
      </c>
      <c r="E301" s="31" t="s">
        <v>52</v>
      </c>
      <c r="F301" s="31" t="s">
        <v>11</v>
      </c>
      <c r="G301" s="62">
        <v>151.85008632018349</v>
      </c>
      <c r="H301" s="33" t="s">
        <v>53</v>
      </c>
    </row>
    <row r="302" spans="1:13" x14ac:dyDescent="0.3">
      <c r="A302" s="34">
        <v>1</v>
      </c>
      <c r="B302" s="35">
        <v>45657</v>
      </c>
      <c r="C302" s="31" t="s">
        <v>56</v>
      </c>
      <c r="D302" s="31" t="s">
        <v>56</v>
      </c>
      <c r="E302" s="31" t="s">
        <v>52</v>
      </c>
      <c r="F302" s="31" t="s">
        <v>11</v>
      </c>
      <c r="G302" s="62">
        <v>193.25414208044526</v>
      </c>
      <c r="H302" s="33" t="s">
        <v>53</v>
      </c>
    </row>
    <row r="303" spans="1:13" x14ac:dyDescent="0.3">
      <c r="A303" s="34">
        <v>1</v>
      </c>
      <c r="B303" s="35">
        <v>45688</v>
      </c>
      <c r="C303" s="31" t="s">
        <v>56</v>
      </c>
      <c r="D303" s="31" t="s">
        <v>56</v>
      </c>
      <c r="E303" s="31" t="s">
        <v>52</v>
      </c>
      <c r="F303" s="31" t="s">
        <v>11</v>
      </c>
      <c r="G303" s="62">
        <v>403.22734417274341</v>
      </c>
      <c r="H303" s="33" t="s">
        <v>53</v>
      </c>
    </row>
    <row r="304" spans="1:13" x14ac:dyDescent="0.3">
      <c r="A304" s="34">
        <v>1</v>
      </c>
      <c r="B304" s="35">
        <v>45716</v>
      </c>
      <c r="C304" s="31" t="s">
        <v>56</v>
      </c>
      <c r="D304" s="31" t="s">
        <v>56</v>
      </c>
      <c r="E304" s="31" t="s">
        <v>52</v>
      </c>
      <c r="F304" s="31" t="s">
        <v>11</v>
      </c>
      <c r="G304" s="62">
        <v>154.60331366435622</v>
      </c>
      <c r="H304" s="33" t="s">
        <v>53</v>
      </c>
    </row>
    <row r="305" spans="1:8" x14ac:dyDescent="0.3">
      <c r="A305" s="34">
        <v>1</v>
      </c>
      <c r="B305" s="35">
        <v>45747</v>
      </c>
      <c r="C305" s="31" t="s">
        <v>56</v>
      </c>
      <c r="D305" s="31" t="s">
        <v>56</v>
      </c>
      <c r="E305" s="31" t="s">
        <v>52</v>
      </c>
      <c r="F305" s="31" t="s">
        <v>11</v>
      </c>
      <c r="G305" s="62">
        <v>127.75387152464636</v>
      </c>
      <c r="H305" s="33" t="s">
        <v>53</v>
      </c>
    </row>
    <row r="306" spans="1:8" x14ac:dyDescent="0.3">
      <c r="A306" s="34">
        <v>1</v>
      </c>
      <c r="B306" s="35">
        <v>45777</v>
      </c>
      <c r="C306" s="31" t="s">
        <v>56</v>
      </c>
      <c r="D306" s="31" t="s">
        <v>56</v>
      </c>
      <c r="E306" s="31" t="s">
        <v>52</v>
      </c>
      <c r="F306" s="31" t="s">
        <v>11</v>
      </c>
      <c r="G306" s="62">
        <v>322.0902368007421</v>
      </c>
      <c r="H306" s="33" t="s">
        <v>53</v>
      </c>
    </row>
    <row r="307" spans="1:8" x14ac:dyDescent="0.3">
      <c r="A307" s="34">
        <v>1</v>
      </c>
      <c r="B307" s="35">
        <v>45808</v>
      </c>
      <c r="C307" s="31" t="s">
        <v>56</v>
      </c>
      <c r="D307" s="31" t="s">
        <v>56</v>
      </c>
      <c r="E307" s="31" t="s">
        <v>52</v>
      </c>
      <c r="F307" s="31" t="s">
        <v>11</v>
      </c>
      <c r="G307" s="62">
        <v>154.60331366435622</v>
      </c>
      <c r="H307" s="33" t="s">
        <v>53</v>
      </c>
    </row>
    <row r="308" spans="1:8" x14ac:dyDescent="0.3">
      <c r="A308" s="34">
        <v>1</v>
      </c>
      <c r="B308" s="35">
        <v>45838</v>
      </c>
      <c r="C308" s="31" t="s">
        <v>56</v>
      </c>
      <c r="D308" s="31" t="s">
        <v>56</v>
      </c>
      <c r="E308" s="31" t="s">
        <v>52</v>
      </c>
      <c r="F308" s="31" t="s">
        <v>11</v>
      </c>
      <c r="G308" s="62">
        <v>425.15911257697962</v>
      </c>
      <c r="H308" s="33" t="s">
        <v>53</v>
      </c>
    </row>
    <row r="309" spans="1:8" x14ac:dyDescent="0.3">
      <c r="A309" s="34">
        <v>1</v>
      </c>
      <c r="B309" s="35">
        <v>45869</v>
      </c>
      <c r="C309" s="31" t="s">
        <v>56</v>
      </c>
      <c r="D309" s="31" t="s">
        <v>56</v>
      </c>
      <c r="E309" s="31" t="s">
        <v>52</v>
      </c>
      <c r="F309" s="31" t="s">
        <v>11</v>
      </c>
      <c r="G309" s="62">
        <v>128.69824009894612</v>
      </c>
      <c r="H309" s="33" t="s">
        <v>53</v>
      </c>
    </row>
    <row r="310" spans="1:8" x14ac:dyDescent="0.3">
      <c r="A310" s="34">
        <v>1</v>
      </c>
      <c r="B310" s="35">
        <v>45900</v>
      </c>
      <c r="C310" s="31" t="s">
        <v>56</v>
      </c>
      <c r="D310" s="31" t="s">
        <v>56</v>
      </c>
      <c r="E310" s="31" t="s">
        <v>52</v>
      </c>
      <c r="F310" s="31" t="s">
        <v>11</v>
      </c>
      <c r="G310" s="62">
        <v>128.83609472029684</v>
      </c>
      <c r="H310" s="33" t="s">
        <v>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BD9C-27B9-4F60-BF4E-BC0626742386}">
  <dimension ref="A1:D7"/>
  <sheetViews>
    <sheetView tabSelected="1" workbookViewId="0">
      <selection activeCell="F11" sqref="F11"/>
    </sheetView>
  </sheetViews>
  <sheetFormatPr defaultRowHeight="14.4" x14ac:dyDescent="0.3"/>
  <cols>
    <col min="2" max="2" width="10.5546875" bestFit="1" customWidth="1"/>
  </cols>
  <sheetData>
    <row r="1" spans="1:4" x14ac:dyDescent="0.3">
      <c r="A1" s="73" t="s">
        <v>0</v>
      </c>
      <c r="B1" s="73" t="s">
        <v>78</v>
      </c>
      <c r="C1" s="74" t="s">
        <v>505</v>
      </c>
      <c r="D1" t="s">
        <v>508</v>
      </c>
    </row>
    <row r="2" spans="1:4" x14ac:dyDescent="0.3">
      <c r="A2" s="5">
        <v>1</v>
      </c>
      <c r="B2" s="77">
        <v>45911</v>
      </c>
      <c r="C2" s="6" t="s">
        <v>506</v>
      </c>
      <c r="D2">
        <v>30</v>
      </c>
    </row>
    <row r="3" spans="1:4" x14ac:dyDescent="0.3">
      <c r="A3" s="75">
        <v>1</v>
      </c>
      <c r="B3" s="80">
        <v>45911</v>
      </c>
      <c r="C3" s="76" t="s">
        <v>507</v>
      </c>
      <c r="D3">
        <v>20</v>
      </c>
    </row>
    <row r="4" spans="1:4" s="78" customFormat="1" x14ac:dyDescent="0.3">
      <c r="A4" s="78">
        <v>1</v>
      </c>
      <c r="B4" s="81">
        <v>45891</v>
      </c>
      <c r="C4" s="78" t="s">
        <v>500</v>
      </c>
      <c r="D4" s="78">
        <v>30.47</v>
      </c>
    </row>
    <row r="5" spans="1:4" x14ac:dyDescent="0.3">
      <c r="B5" s="79"/>
    </row>
    <row r="6" spans="1:4" x14ac:dyDescent="0.3">
      <c r="B6" s="79"/>
    </row>
    <row r="7" spans="1:4" x14ac:dyDescent="0.3">
      <c r="B7" s="7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361"/>
  <sheetViews>
    <sheetView workbookViewId="0">
      <selection activeCell="C14" sqref="C14"/>
    </sheetView>
  </sheetViews>
  <sheetFormatPr defaultRowHeight="14.4" x14ac:dyDescent="0.3"/>
  <cols>
    <col min="1" max="1" width="18.21875" style="56" customWidth="1"/>
    <col min="2" max="2" width="18.21875" style="57" customWidth="1"/>
    <col min="3" max="6" width="18.21875" style="58" customWidth="1"/>
    <col min="7" max="7" width="18.21875" style="59" customWidth="1"/>
    <col min="8" max="8" width="18.21875" style="58" customWidth="1"/>
    <col min="9" max="9" width="10.6640625" style="55" bestFit="1" customWidth="1"/>
    <col min="10" max="10" width="11" style="55" bestFit="1" customWidth="1"/>
    <col min="11" max="12" width="11.6640625" style="55" bestFit="1" customWidth="1"/>
    <col min="13" max="16384" width="8.88671875" style="55"/>
  </cols>
  <sheetData>
    <row r="1" spans="1:8" ht="17.399999999999999" customHeight="1" x14ac:dyDescent="0.3">
      <c r="A1" s="12" t="s">
        <v>0</v>
      </c>
      <c r="B1" s="2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8" t="s">
        <v>7</v>
      </c>
    </row>
    <row r="2" spans="1:8" ht="17.399999999999999" customHeight="1" x14ac:dyDescent="0.3">
      <c r="A2" s="5">
        <v>2</v>
      </c>
      <c r="B2" s="35">
        <v>43997</v>
      </c>
      <c r="C2" s="31" t="s">
        <v>50</v>
      </c>
      <c r="D2" s="31" t="s">
        <v>51</v>
      </c>
      <c r="E2" s="31" t="s">
        <v>52</v>
      </c>
      <c r="F2" s="31" t="s">
        <v>11</v>
      </c>
      <c r="G2" s="30">
        <v>200</v>
      </c>
      <c r="H2" s="32" t="s">
        <v>53</v>
      </c>
    </row>
    <row r="3" spans="1:8" ht="17.399999999999999" customHeight="1" x14ac:dyDescent="0.3">
      <c r="A3" s="5">
        <v>2</v>
      </c>
      <c r="B3" s="35">
        <v>43997</v>
      </c>
      <c r="C3" s="31" t="s">
        <v>50</v>
      </c>
      <c r="D3" s="32" t="s">
        <v>60</v>
      </c>
      <c r="E3" s="31" t="s">
        <v>40</v>
      </c>
      <c r="F3" s="31" t="s">
        <v>33</v>
      </c>
      <c r="G3" s="30">
        <v>200</v>
      </c>
      <c r="H3" s="32" t="s">
        <v>53</v>
      </c>
    </row>
    <row r="4" spans="1:8" ht="17.399999999999999" customHeight="1" x14ac:dyDescent="0.3">
      <c r="A4" s="5">
        <v>2</v>
      </c>
      <c r="B4" s="35">
        <v>44047</v>
      </c>
      <c r="C4" s="31" t="s">
        <v>50</v>
      </c>
      <c r="D4" s="31" t="s">
        <v>51</v>
      </c>
      <c r="E4" s="31" t="s">
        <v>52</v>
      </c>
      <c r="F4" s="31" t="s">
        <v>11</v>
      </c>
      <c r="G4" s="30">
        <v>200</v>
      </c>
      <c r="H4" s="32" t="s">
        <v>53</v>
      </c>
    </row>
    <row r="5" spans="1:8" ht="17.399999999999999" customHeight="1" x14ac:dyDescent="0.3">
      <c r="A5" s="5">
        <v>2</v>
      </c>
      <c r="B5" s="35">
        <v>44047</v>
      </c>
      <c r="C5" s="31" t="s">
        <v>50</v>
      </c>
      <c r="D5" s="32" t="s">
        <v>60</v>
      </c>
      <c r="E5" s="31" t="s">
        <v>40</v>
      </c>
      <c r="F5" s="31" t="s">
        <v>33</v>
      </c>
      <c r="G5" s="30">
        <v>200</v>
      </c>
      <c r="H5" s="32" t="s">
        <v>53</v>
      </c>
    </row>
    <row r="6" spans="1:8" ht="17.399999999999999" customHeight="1" x14ac:dyDescent="0.3">
      <c r="A6" s="5">
        <v>2</v>
      </c>
      <c r="B6" s="35">
        <v>44074</v>
      </c>
      <c r="C6" s="31" t="s">
        <v>50</v>
      </c>
      <c r="D6" s="31" t="s">
        <v>51</v>
      </c>
      <c r="E6" s="31" t="s">
        <v>52</v>
      </c>
      <c r="F6" s="31" t="s">
        <v>11</v>
      </c>
      <c r="G6" s="30">
        <v>100</v>
      </c>
      <c r="H6" s="32" t="s">
        <v>53</v>
      </c>
    </row>
    <row r="7" spans="1:8" ht="17.399999999999999" customHeight="1" x14ac:dyDescent="0.3">
      <c r="A7" s="5">
        <v>2</v>
      </c>
      <c r="B7" s="35">
        <v>44074</v>
      </c>
      <c r="C7" s="31" t="s">
        <v>50</v>
      </c>
      <c r="D7" s="32" t="s">
        <v>60</v>
      </c>
      <c r="E7" s="31" t="s">
        <v>40</v>
      </c>
      <c r="F7" s="31" t="s">
        <v>33</v>
      </c>
      <c r="G7" s="30">
        <v>100</v>
      </c>
      <c r="H7" s="32" t="s">
        <v>53</v>
      </c>
    </row>
    <row r="8" spans="1:8" ht="17.399999999999999" customHeight="1" x14ac:dyDescent="0.3">
      <c r="A8" s="5">
        <v>2</v>
      </c>
      <c r="B8" s="35">
        <v>44105</v>
      </c>
      <c r="C8" s="31" t="s">
        <v>50</v>
      </c>
      <c r="D8" s="31" t="s">
        <v>51</v>
      </c>
      <c r="E8" s="31" t="s">
        <v>52</v>
      </c>
      <c r="F8" s="31" t="s">
        <v>11</v>
      </c>
      <c r="G8" s="30">
        <v>200</v>
      </c>
      <c r="H8" s="32" t="s">
        <v>53</v>
      </c>
    </row>
    <row r="9" spans="1:8" ht="17.399999999999999" customHeight="1" x14ac:dyDescent="0.3">
      <c r="A9" s="5">
        <v>2</v>
      </c>
      <c r="B9" s="35">
        <v>44105</v>
      </c>
      <c r="C9" s="31" t="s">
        <v>50</v>
      </c>
      <c r="D9" s="32" t="s">
        <v>60</v>
      </c>
      <c r="E9" s="31" t="s">
        <v>40</v>
      </c>
      <c r="F9" s="31" t="s">
        <v>33</v>
      </c>
      <c r="G9" s="30">
        <v>200</v>
      </c>
      <c r="H9" s="32" t="s">
        <v>53</v>
      </c>
    </row>
    <row r="10" spans="1:8" ht="17.399999999999999" customHeight="1" x14ac:dyDescent="0.3">
      <c r="A10" s="5">
        <v>2</v>
      </c>
      <c r="B10" s="35">
        <v>44144</v>
      </c>
      <c r="C10" s="31" t="s">
        <v>50</v>
      </c>
      <c r="D10" s="31" t="s">
        <v>51</v>
      </c>
      <c r="E10" s="31" t="s">
        <v>52</v>
      </c>
      <c r="F10" s="31" t="s">
        <v>11</v>
      </c>
      <c r="G10" s="30">
        <v>100</v>
      </c>
      <c r="H10" s="32" t="s">
        <v>53</v>
      </c>
    </row>
    <row r="11" spans="1:8" ht="17.399999999999999" customHeight="1" x14ac:dyDescent="0.3">
      <c r="A11" s="5">
        <v>2</v>
      </c>
      <c r="B11" s="35">
        <v>44144</v>
      </c>
      <c r="C11" s="31" t="s">
        <v>50</v>
      </c>
      <c r="D11" s="32" t="s">
        <v>60</v>
      </c>
      <c r="E11" s="31" t="s">
        <v>40</v>
      </c>
      <c r="F11" s="31" t="s">
        <v>33</v>
      </c>
      <c r="G11" s="30">
        <v>100</v>
      </c>
      <c r="H11" s="32" t="s">
        <v>53</v>
      </c>
    </row>
    <row r="12" spans="1:8" ht="17.399999999999999" customHeight="1" x14ac:dyDescent="0.3">
      <c r="A12" s="5">
        <v>2</v>
      </c>
      <c r="B12" s="35">
        <v>44159</v>
      </c>
      <c r="C12" s="31" t="s">
        <v>50</v>
      </c>
      <c r="D12" s="31" t="s">
        <v>51</v>
      </c>
      <c r="E12" s="31" t="s">
        <v>52</v>
      </c>
      <c r="F12" s="31" t="s">
        <v>11</v>
      </c>
      <c r="G12" s="30">
        <v>100</v>
      </c>
      <c r="H12" s="32" t="s">
        <v>53</v>
      </c>
    </row>
    <row r="13" spans="1:8" ht="17.399999999999999" customHeight="1" x14ac:dyDescent="0.3">
      <c r="A13" s="5">
        <v>2</v>
      </c>
      <c r="B13" s="35">
        <v>44159</v>
      </c>
      <c r="C13" s="31" t="s">
        <v>50</v>
      </c>
      <c r="D13" s="32" t="s">
        <v>60</v>
      </c>
      <c r="E13" s="31" t="s">
        <v>40</v>
      </c>
      <c r="F13" s="31" t="s">
        <v>33</v>
      </c>
      <c r="G13" s="30">
        <v>100</v>
      </c>
      <c r="H13" s="32" t="s">
        <v>53</v>
      </c>
    </row>
    <row r="14" spans="1:8" ht="17.399999999999999" customHeight="1" x14ac:dyDescent="0.3">
      <c r="A14" s="5">
        <v>2</v>
      </c>
      <c r="B14" s="35">
        <v>44207</v>
      </c>
      <c r="C14" s="31" t="s">
        <v>50</v>
      </c>
      <c r="D14" s="31" t="s">
        <v>51</v>
      </c>
      <c r="E14" s="31" t="s">
        <v>52</v>
      </c>
      <c r="F14" s="31" t="s">
        <v>11</v>
      </c>
      <c r="G14" s="30">
        <v>100</v>
      </c>
      <c r="H14" s="32" t="s">
        <v>53</v>
      </c>
    </row>
    <row r="15" spans="1:8" ht="17.399999999999999" customHeight="1" x14ac:dyDescent="0.3">
      <c r="A15" s="5">
        <v>2</v>
      </c>
      <c r="B15" s="35">
        <v>44207</v>
      </c>
      <c r="C15" s="31" t="s">
        <v>50</v>
      </c>
      <c r="D15" s="32" t="s">
        <v>60</v>
      </c>
      <c r="E15" s="31" t="s">
        <v>40</v>
      </c>
      <c r="F15" s="31" t="s">
        <v>33</v>
      </c>
      <c r="G15" s="30">
        <v>100</v>
      </c>
      <c r="H15" s="32" t="s">
        <v>53</v>
      </c>
    </row>
    <row r="16" spans="1:8" ht="17.399999999999999" customHeight="1" x14ac:dyDescent="0.3">
      <c r="A16" s="5">
        <v>2</v>
      </c>
      <c r="B16" s="35">
        <v>44305</v>
      </c>
      <c r="C16" s="31" t="s">
        <v>50</v>
      </c>
      <c r="D16" s="31" t="s">
        <v>51</v>
      </c>
      <c r="E16" s="31" t="s">
        <v>52</v>
      </c>
      <c r="F16" s="31" t="s">
        <v>11</v>
      </c>
      <c r="G16" s="30">
        <v>400</v>
      </c>
      <c r="H16" s="32" t="s">
        <v>53</v>
      </c>
    </row>
    <row r="17" spans="1:8" ht="17.399999999999999" customHeight="1" x14ac:dyDescent="0.3">
      <c r="A17" s="5">
        <v>2</v>
      </c>
      <c r="B17" s="35">
        <v>44305</v>
      </c>
      <c r="C17" s="31" t="s">
        <v>50</v>
      </c>
      <c r="D17" s="32" t="s">
        <v>60</v>
      </c>
      <c r="E17" s="31" t="s">
        <v>40</v>
      </c>
      <c r="F17" s="31" t="s">
        <v>33</v>
      </c>
      <c r="G17" s="30">
        <v>400</v>
      </c>
      <c r="H17" s="32" t="s">
        <v>53</v>
      </c>
    </row>
    <row r="18" spans="1:8" ht="17.399999999999999" customHeight="1" x14ac:dyDescent="0.3">
      <c r="A18" s="5">
        <v>2</v>
      </c>
      <c r="B18" s="35">
        <v>44347</v>
      </c>
      <c r="C18" s="31" t="s">
        <v>50</v>
      </c>
      <c r="D18" s="31" t="s">
        <v>51</v>
      </c>
      <c r="E18" s="31" t="s">
        <v>52</v>
      </c>
      <c r="F18" s="31" t="s">
        <v>11</v>
      </c>
      <c r="G18" s="30">
        <v>600</v>
      </c>
      <c r="H18" s="32" t="s">
        <v>53</v>
      </c>
    </row>
    <row r="19" spans="1:8" ht="17.399999999999999" customHeight="1" x14ac:dyDescent="0.3">
      <c r="A19" s="5">
        <v>2</v>
      </c>
      <c r="B19" s="35">
        <v>44347</v>
      </c>
      <c r="C19" s="31" t="s">
        <v>50</v>
      </c>
      <c r="D19" s="32" t="s">
        <v>60</v>
      </c>
      <c r="E19" s="31" t="s">
        <v>40</v>
      </c>
      <c r="F19" s="31" t="s">
        <v>33</v>
      </c>
      <c r="G19" s="30">
        <v>600</v>
      </c>
      <c r="H19" s="32" t="s">
        <v>53</v>
      </c>
    </row>
    <row r="20" spans="1:8" ht="17.399999999999999" customHeight="1" x14ac:dyDescent="0.3">
      <c r="A20" s="5">
        <v>2</v>
      </c>
      <c r="B20" s="35">
        <v>44396</v>
      </c>
      <c r="C20" s="31" t="s">
        <v>50</v>
      </c>
      <c r="D20" s="31" t="s">
        <v>51</v>
      </c>
      <c r="E20" s="31" t="s">
        <v>52</v>
      </c>
      <c r="F20" s="31" t="s">
        <v>11</v>
      </c>
      <c r="G20" s="30">
        <v>1000</v>
      </c>
      <c r="H20" s="32" t="s">
        <v>53</v>
      </c>
    </row>
    <row r="21" spans="1:8" ht="17.399999999999999" customHeight="1" x14ac:dyDescent="0.3">
      <c r="A21" s="5">
        <v>2</v>
      </c>
      <c r="B21" s="35">
        <v>44396</v>
      </c>
      <c r="C21" s="31" t="s">
        <v>50</v>
      </c>
      <c r="D21" s="32" t="s">
        <v>60</v>
      </c>
      <c r="E21" s="31" t="s">
        <v>40</v>
      </c>
      <c r="F21" s="31" t="s">
        <v>33</v>
      </c>
      <c r="G21" s="30">
        <v>1000</v>
      </c>
      <c r="H21" s="32" t="s">
        <v>53</v>
      </c>
    </row>
    <row r="22" spans="1:8" ht="17.399999999999999" customHeight="1" x14ac:dyDescent="0.3">
      <c r="A22" s="5">
        <v>2</v>
      </c>
      <c r="B22" s="35">
        <v>44470</v>
      </c>
      <c r="C22" s="31" t="s">
        <v>50</v>
      </c>
      <c r="D22" s="32" t="s">
        <v>59</v>
      </c>
      <c r="E22" s="31" t="s">
        <v>40</v>
      </c>
      <c r="F22" s="31" t="s">
        <v>11</v>
      </c>
      <c r="G22" s="30">
        <v>628</v>
      </c>
      <c r="H22" s="32" t="s">
        <v>53</v>
      </c>
    </row>
    <row r="23" spans="1:8" ht="17.399999999999999" customHeight="1" x14ac:dyDescent="0.3">
      <c r="A23" s="5">
        <v>2</v>
      </c>
      <c r="B23" s="35">
        <v>44470</v>
      </c>
      <c r="C23" s="31" t="s">
        <v>50</v>
      </c>
      <c r="D23" s="32" t="s">
        <v>60</v>
      </c>
      <c r="E23" s="31" t="s">
        <v>40</v>
      </c>
      <c r="F23" s="31" t="s">
        <v>33</v>
      </c>
      <c r="G23" s="30">
        <v>3482.82</v>
      </c>
      <c r="H23" s="32" t="s">
        <v>53</v>
      </c>
    </row>
    <row r="24" spans="1:8" ht="17.399999999999999" customHeight="1" x14ac:dyDescent="0.3">
      <c r="A24" s="5">
        <v>2</v>
      </c>
      <c r="B24" s="35">
        <v>44501</v>
      </c>
      <c r="C24" s="31" t="s">
        <v>50</v>
      </c>
      <c r="D24" s="32" t="s">
        <v>61</v>
      </c>
      <c r="E24" s="31" t="s">
        <v>52</v>
      </c>
      <c r="F24" s="31" t="s">
        <v>33</v>
      </c>
      <c r="G24" s="30">
        <v>42.22</v>
      </c>
      <c r="H24" s="32" t="s">
        <v>53</v>
      </c>
    </row>
    <row r="25" spans="1:8" ht="17.399999999999999" customHeight="1" x14ac:dyDescent="0.3">
      <c r="A25" s="5">
        <v>2</v>
      </c>
      <c r="B25" s="35">
        <v>44531</v>
      </c>
      <c r="C25" s="31" t="s">
        <v>50</v>
      </c>
      <c r="D25" s="32" t="s">
        <v>61</v>
      </c>
      <c r="E25" s="31" t="s">
        <v>52</v>
      </c>
      <c r="F25" s="31" t="s">
        <v>33</v>
      </c>
      <c r="G25" s="30">
        <v>32.99</v>
      </c>
      <c r="H25" s="32" t="s">
        <v>53</v>
      </c>
    </row>
    <row r="26" spans="1:8" ht="17.399999999999999" customHeight="1" x14ac:dyDescent="0.3">
      <c r="A26" s="5">
        <v>2</v>
      </c>
      <c r="B26" s="35">
        <v>44592</v>
      </c>
      <c r="C26" s="31" t="s">
        <v>50</v>
      </c>
      <c r="D26" s="32" t="s">
        <v>61</v>
      </c>
      <c r="E26" s="31" t="s">
        <v>52</v>
      </c>
      <c r="F26" s="31" t="s">
        <v>33</v>
      </c>
      <c r="G26" s="30">
        <v>4.12</v>
      </c>
      <c r="H26" s="32" t="s">
        <v>53</v>
      </c>
    </row>
    <row r="27" spans="1:8" ht="17.399999999999999" customHeight="1" x14ac:dyDescent="0.3">
      <c r="A27" s="5">
        <v>2</v>
      </c>
      <c r="B27" s="35">
        <v>44592</v>
      </c>
      <c r="C27" s="31" t="s">
        <v>50</v>
      </c>
      <c r="D27" s="32" t="s">
        <v>60</v>
      </c>
      <c r="E27" s="31" t="s">
        <v>40</v>
      </c>
      <c r="F27" s="31" t="s">
        <v>33</v>
      </c>
      <c r="G27" s="30">
        <v>806.1</v>
      </c>
      <c r="H27" s="32" t="s">
        <v>53</v>
      </c>
    </row>
    <row r="28" spans="1:8" ht="17.399999999999999" customHeight="1" x14ac:dyDescent="0.3">
      <c r="A28" s="5">
        <v>2</v>
      </c>
      <c r="B28" s="35">
        <v>44620</v>
      </c>
      <c r="C28" s="31" t="s">
        <v>50</v>
      </c>
      <c r="D28" s="32" t="s">
        <v>61</v>
      </c>
      <c r="E28" s="31" t="s">
        <v>52</v>
      </c>
      <c r="F28" s="31" t="s">
        <v>33</v>
      </c>
      <c r="G28" s="30">
        <v>59.75</v>
      </c>
      <c r="H28" s="32" t="s">
        <v>53</v>
      </c>
    </row>
    <row r="29" spans="1:8" ht="17.399999999999999" customHeight="1" x14ac:dyDescent="0.3">
      <c r="A29" s="5">
        <v>2</v>
      </c>
      <c r="B29" s="35">
        <v>44651</v>
      </c>
      <c r="C29" s="31" t="s">
        <v>50</v>
      </c>
      <c r="D29" s="32" t="s">
        <v>61</v>
      </c>
      <c r="E29" s="31" t="s">
        <v>52</v>
      </c>
      <c r="F29" s="31" t="s">
        <v>33</v>
      </c>
      <c r="G29" s="30">
        <v>23.94</v>
      </c>
      <c r="H29" s="32" t="s">
        <v>53</v>
      </c>
    </row>
    <row r="30" spans="1:8" ht="17.399999999999999" customHeight="1" x14ac:dyDescent="0.3">
      <c r="A30" s="5">
        <v>2</v>
      </c>
      <c r="B30" s="35">
        <v>44651</v>
      </c>
      <c r="C30" s="31" t="s">
        <v>50</v>
      </c>
      <c r="D30" s="32" t="s">
        <v>60</v>
      </c>
      <c r="E30" s="31" t="s">
        <v>40</v>
      </c>
      <c r="F30" s="31" t="s">
        <v>33</v>
      </c>
      <c r="G30" s="30">
        <v>157.44999999999999</v>
      </c>
      <c r="H30" s="32" t="s">
        <v>53</v>
      </c>
    </row>
    <row r="31" spans="1:8" ht="17.399999999999999" customHeight="1" x14ac:dyDescent="0.3">
      <c r="A31" s="5">
        <v>2</v>
      </c>
      <c r="B31" s="35">
        <v>44681</v>
      </c>
      <c r="C31" s="31" t="s">
        <v>50</v>
      </c>
      <c r="D31" s="32" t="s">
        <v>60</v>
      </c>
      <c r="E31" s="31" t="s">
        <v>40</v>
      </c>
      <c r="F31" s="31" t="s">
        <v>33</v>
      </c>
      <c r="G31" s="30">
        <v>88.93</v>
      </c>
      <c r="H31" s="32" t="s">
        <v>53</v>
      </c>
    </row>
    <row r="32" spans="1:8" ht="17.399999999999999" customHeight="1" x14ac:dyDescent="0.3">
      <c r="A32" s="5">
        <v>2</v>
      </c>
      <c r="B32" s="35">
        <v>44681</v>
      </c>
      <c r="C32" s="31" t="s">
        <v>50</v>
      </c>
      <c r="D32" s="32" t="s">
        <v>62</v>
      </c>
      <c r="E32" s="31" t="s">
        <v>40</v>
      </c>
      <c r="F32" s="31" t="s">
        <v>33</v>
      </c>
      <c r="G32" s="30">
        <v>200</v>
      </c>
      <c r="H32" s="32" t="s">
        <v>53</v>
      </c>
    </row>
    <row r="33" spans="1:12" ht="17.399999999999999" customHeight="1" x14ac:dyDescent="0.3">
      <c r="A33" s="5">
        <v>2</v>
      </c>
      <c r="B33" s="35">
        <v>44712</v>
      </c>
      <c r="C33" s="31" t="s">
        <v>50</v>
      </c>
      <c r="D33" s="32" t="s">
        <v>61</v>
      </c>
      <c r="E33" s="31" t="s">
        <v>52</v>
      </c>
      <c r="F33" s="31" t="s">
        <v>33</v>
      </c>
      <c r="G33" s="30">
        <v>25.82</v>
      </c>
      <c r="H33" s="32" t="s">
        <v>53</v>
      </c>
    </row>
    <row r="34" spans="1:12" ht="17.399999999999999" customHeight="1" x14ac:dyDescent="0.3">
      <c r="A34" s="5">
        <v>2</v>
      </c>
      <c r="B34" s="35">
        <v>44712</v>
      </c>
      <c r="C34" s="31" t="s">
        <v>50</v>
      </c>
      <c r="D34" s="32" t="s">
        <v>60</v>
      </c>
      <c r="E34" s="31" t="s">
        <v>40</v>
      </c>
      <c r="F34" s="31" t="s">
        <v>33</v>
      </c>
      <c r="G34" s="30">
        <v>488.74</v>
      </c>
      <c r="H34" s="32" t="s">
        <v>53</v>
      </c>
    </row>
    <row r="35" spans="1:12" ht="17.399999999999999" customHeight="1" x14ac:dyDescent="0.3">
      <c r="A35" s="5">
        <v>2</v>
      </c>
      <c r="B35" s="35">
        <v>44742</v>
      </c>
      <c r="C35" s="31" t="s">
        <v>50</v>
      </c>
      <c r="D35" s="32" t="s">
        <v>61</v>
      </c>
      <c r="E35" s="31" t="s">
        <v>52</v>
      </c>
      <c r="F35" s="31" t="s">
        <v>33</v>
      </c>
      <c r="G35" s="30">
        <v>26.65</v>
      </c>
      <c r="H35" s="32" t="s">
        <v>53</v>
      </c>
    </row>
    <row r="36" spans="1:12" ht="17.399999999999999" customHeight="1" x14ac:dyDescent="0.3">
      <c r="A36" s="5">
        <v>2</v>
      </c>
      <c r="B36" s="35">
        <v>44742</v>
      </c>
      <c r="C36" s="31" t="s">
        <v>50</v>
      </c>
      <c r="D36" s="32" t="s">
        <v>60</v>
      </c>
      <c r="E36" s="31" t="s">
        <v>40</v>
      </c>
      <c r="F36" s="31" t="s">
        <v>33</v>
      </c>
      <c r="G36" s="30">
        <v>460.51</v>
      </c>
      <c r="H36" s="32" t="s">
        <v>53</v>
      </c>
    </row>
    <row r="37" spans="1:12" ht="17.399999999999999" customHeight="1" x14ac:dyDescent="0.3">
      <c r="A37" s="5">
        <v>2</v>
      </c>
      <c r="B37" s="38">
        <v>44770</v>
      </c>
      <c r="C37" s="39" t="s">
        <v>50</v>
      </c>
      <c r="D37" s="39" t="s">
        <v>66</v>
      </c>
      <c r="E37" s="39" t="s">
        <v>52</v>
      </c>
      <c r="F37" s="39" t="s">
        <v>33</v>
      </c>
      <c r="G37" s="40">
        <v>665.12</v>
      </c>
      <c r="H37" s="39" t="s">
        <v>53</v>
      </c>
    </row>
    <row r="38" spans="1:12" ht="17.399999999999999" customHeight="1" x14ac:dyDescent="0.3">
      <c r="A38" s="5">
        <v>2</v>
      </c>
      <c r="B38" s="35">
        <v>44773</v>
      </c>
      <c r="C38" s="31" t="s">
        <v>50</v>
      </c>
      <c r="D38" s="32" t="s">
        <v>63</v>
      </c>
      <c r="E38" s="31" t="s">
        <v>40</v>
      </c>
      <c r="F38" s="31" t="s">
        <v>11</v>
      </c>
      <c r="G38" s="30">
        <v>49.04</v>
      </c>
      <c r="H38" s="32" t="s">
        <v>53</v>
      </c>
    </row>
    <row r="39" spans="1:12" ht="17.399999999999999" customHeight="1" x14ac:dyDescent="0.3">
      <c r="A39" s="5">
        <v>2</v>
      </c>
      <c r="B39" s="38">
        <v>44796</v>
      </c>
      <c r="C39" s="39" t="s">
        <v>50</v>
      </c>
      <c r="D39" s="39" t="s">
        <v>51</v>
      </c>
      <c r="E39" s="39" t="s">
        <v>52</v>
      </c>
      <c r="F39" s="39" t="s">
        <v>11</v>
      </c>
      <c r="G39" s="40">
        <v>342.92</v>
      </c>
      <c r="H39" s="39" t="s">
        <v>53</v>
      </c>
    </row>
    <row r="40" spans="1:12" ht="17.399999999999999" customHeight="1" x14ac:dyDescent="0.3">
      <c r="A40" s="5">
        <v>2</v>
      </c>
      <c r="B40" s="38">
        <v>44796</v>
      </c>
      <c r="C40" s="39" t="s">
        <v>50</v>
      </c>
      <c r="D40" s="39" t="s">
        <v>60</v>
      </c>
      <c r="E40" s="39" t="s">
        <v>40</v>
      </c>
      <c r="F40" s="39" t="s">
        <v>33</v>
      </c>
      <c r="G40" s="40">
        <v>342.92</v>
      </c>
      <c r="H40" s="39" t="s">
        <v>53</v>
      </c>
    </row>
    <row r="41" spans="1:12" ht="17.399999999999999" customHeight="1" x14ac:dyDescent="0.3">
      <c r="A41" s="5">
        <v>2</v>
      </c>
      <c r="B41" s="35">
        <v>44804</v>
      </c>
      <c r="C41" s="31" t="s">
        <v>50</v>
      </c>
      <c r="D41" s="32" t="s">
        <v>61</v>
      </c>
      <c r="E41" s="31" t="s">
        <v>52</v>
      </c>
      <c r="F41" s="31" t="s">
        <v>33</v>
      </c>
      <c r="G41" s="30">
        <v>295.31</v>
      </c>
      <c r="H41" s="32" t="s">
        <v>53</v>
      </c>
    </row>
    <row r="42" spans="1:12" ht="17.399999999999999" customHeight="1" x14ac:dyDescent="0.3">
      <c r="A42" s="5">
        <v>2</v>
      </c>
      <c r="B42" s="38">
        <v>44825</v>
      </c>
      <c r="C42" s="39" t="s">
        <v>50</v>
      </c>
      <c r="D42" s="39" t="s">
        <v>51</v>
      </c>
      <c r="E42" s="39" t="s">
        <v>52</v>
      </c>
      <c r="F42" s="39" t="s">
        <v>11</v>
      </c>
      <c r="G42" s="40">
        <v>103.99</v>
      </c>
      <c r="H42" s="39" t="s">
        <v>53</v>
      </c>
    </row>
    <row r="43" spans="1:12" ht="17.399999999999999" customHeight="1" x14ac:dyDescent="0.3">
      <c r="A43" s="5">
        <v>2</v>
      </c>
      <c r="B43" s="38">
        <v>44825</v>
      </c>
      <c r="C43" s="39" t="s">
        <v>50</v>
      </c>
      <c r="D43" s="39" t="s">
        <v>60</v>
      </c>
      <c r="E43" s="39" t="s">
        <v>40</v>
      </c>
      <c r="F43" s="39" t="s">
        <v>33</v>
      </c>
      <c r="G43" s="40">
        <v>103.99</v>
      </c>
      <c r="H43" s="39" t="s">
        <v>53</v>
      </c>
      <c r="L43" s="9"/>
    </row>
    <row r="44" spans="1:12" ht="17.399999999999999" customHeight="1" x14ac:dyDescent="0.3">
      <c r="A44" s="5">
        <v>2</v>
      </c>
      <c r="B44" s="50">
        <v>44834</v>
      </c>
      <c r="C44" s="31" t="s">
        <v>50</v>
      </c>
      <c r="D44" s="32" t="s">
        <v>63</v>
      </c>
      <c r="E44" s="31" t="s">
        <v>40</v>
      </c>
      <c r="F44" s="31" t="s">
        <v>11</v>
      </c>
      <c r="G44" s="30">
        <v>521.20000000000005</v>
      </c>
      <c r="H44" s="32" t="s">
        <v>53</v>
      </c>
    </row>
    <row r="45" spans="1:12" ht="17.399999999999999" customHeight="1" x14ac:dyDescent="0.3">
      <c r="A45" s="5">
        <v>2</v>
      </c>
      <c r="B45" s="50">
        <v>44865</v>
      </c>
      <c r="C45" s="31" t="s">
        <v>50</v>
      </c>
      <c r="D45" s="32" t="s">
        <v>61</v>
      </c>
      <c r="E45" s="31" t="s">
        <v>52</v>
      </c>
      <c r="F45" s="31" t="s">
        <v>33</v>
      </c>
      <c r="G45" s="30">
        <v>77.510000000000005</v>
      </c>
      <c r="H45" s="32" t="s">
        <v>53</v>
      </c>
    </row>
    <row r="46" spans="1:12" ht="17.399999999999999" customHeight="1" x14ac:dyDescent="0.3">
      <c r="A46" s="5">
        <v>2</v>
      </c>
      <c r="B46" s="50">
        <v>44865</v>
      </c>
      <c r="C46" s="31" t="s">
        <v>50</v>
      </c>
      <c r="D46" s="32" t="s">
        <v>60</v>
      </c>
      <c r="E46" s="31" t="s">
        <v>40</v>
      </c>
      <c r="F46" s="31" t="s">
        <v>33</v>
      </c>
      <c r="G46" s="30">
        <v>500</v>
      </c>
      <c r="H46" s="32" t="s">
        <v>53</v>
      </c>
    </row>
    <row r="47" spans="1:12" ht="17.399999999999999" customHeight="1" x14ac:dyDescent="0.3">
      <c r="A47" s="5">
        <v>2</v>
      </c>
      <c r="B47" s="50">
        <v>44865</v>
      </c>
      <c r="C47" s="31" t="s">
        <v>50</v>
      </c>
      <c r="D47" s="32" t="s">
        <v>64</v>
      </c>
      <c r="E47" s="31" t="s">
        <v>38</v>
      </c>
      <c r="F47" s="31" t="s">
        <v>33</v>
      </c>
      <c r="G47" s="30">
        <v>400</v>
      </c>
      <c r="H47" s="32" t="s">
        <v>53</v>
      </c>
    </row>
    <row r="48" spans="1:12" ht="17.399999999999999" customHeight="1" x14ac:dyDescent="0.3">
      <c r="A48" s="5">
        <v>2</v>
      </c>
      <c r="B48" s="38">
        <v>44873</v>
      </c>
      <c r="C48" s="39" t="s">
        <v>50</v>
      </c>
      <c r="D48" s="39" t="s">
        <v>51</v>
      </c>
      <c r="E48" s="39" t="s">
        <v>52</v>
      </c>
      <c r="F48" s="39" t="s">
        <v>11</v>
      </c>
      <c r="G48" s="40">
        <v>1000</v>
      </c>
      <c r="H48" s="39" t="s">
        <v>53</v>
      </c>
    </row>
    <row r="49" spans="1:8" ht="17.399999999999999" customHeight="1" x14ac:dyDescent="0.3">
      <c r="A49" s="5">
        <v>2</v>
      </c>
      <c r="B49" s="38">
        <v>44873</v>
      </c>
      <c r="C49" s="39" t="s">
        <v>50</v>
      </c>
      <c r="D49" s="39" t="s">
        <v>60</v>
      </c>
      <c r="E49" s="39" t="s">
        <v>40</v>
      </c>
      <c r="F49" s="39" t="s">
        <v>33</v>
      </c>
      <c r="G49" s="40">
        <v>1000</v>
      </c>
      <c r="H49" s="39" t="s">
        <v>53</v>
      </c>
    </row>
    <row r="50" spans="1:8" ht="17.399999999999999" customHeight="1" x14ac:dyDescent="0.3">
      <c r="A50" s="5">
        <v>2</v>
      </c>
      <c r="B50" s="50">
        <v>44895</v>
      </c>
      <c r="C50" s="31" t="s">
        <v>50</v>
      </c>
      <c r="D50" s="32" t="s">
        <v>60</v>
      </c>
      <c r="E50" s="31" t="s">
        <v>40</v>
      </c>
      <c r="F50" s="31" t="s">
        <v>33</v>
      </c>
      <c r="G50" s="30">
        <v>310.04000000000002</v>
      </c>
      <c r="H50" s="32" t="s">
        <v>53</v>
      </c>
    </row>
    <row r="51" spans="1:8" ht="17.399999999999999" customHeight="1" x14ac:dyDescent="0.3">
      <c r="A51" s="5">
        <v>2</v>
      </c>
      <c r="B51" s="50">
        <v>44895</v>
      </c>
      <c r="C51" s="31" t="s">
        <v>50</v>
      </c>
      <c r="D51" s="32" t="s">
        <v>64</v>
      </c>
      <c r="E51" s="31" t="s">
        <v>38</v>
      </c>
      <c r="F51" s="31" t="s">
        <v>33</v>
      </c>
      <c r="G51" s="30">
        <v>400</v>
      </c>
      <c r="H51" s="32" t="s">
        <v>53</v>
      </c>
    </row>
    <row r="52" spans="1:8" ht="17.399999999999999" customHeight="1" x14ac:dyDescent="0.3">
      <c r="A52" s="5">
        <v>2</v>
      </c>
      <c r="B52" s="50">
        <v>44926</v>
      </c>
      <c r="C52" s="31" t="s">
        <v>50</v>
      </c>
      <c r="D52" s="32" t="s">
        <v>61</v>
      </c>
      <c r="E52" s="31" t="s">
        <v>52</v>
      </c>
      <c r="F52" s="31" t="s">
        <v>33</v>
      </c>
      <c r="G52" s="30">
        <v>9.57</v>
      </c>
      <c r="H52" s="32" t="s">
        <v>53</v>
      </c>
    </row>
    <row r="53" spans="1:8" ht="17.399999999999999" customHeight="1" x14ac:dyDescent="0.3">
      <c r="A53" s="5">
        <v>2</v>
      </c>
      <c r="B53" s="50">
        <v>44926</v>
      </c>
      <c r="C53" s="31" t="s">
        <v>50</v>
      </c>
      <c r="D53" s="32" t="s">
        <v>60</v>
      </c>
      <c r="E53" s="31" t="s">
        <v>40</v>
      </c>
      <c r="F53" s="31" t="s">
        <v>33</v>
      </c>
      <c r="G53" s="30">
        <v>390</v>
      </c>
      <c r="H53" s="32" t="s">
        <v>53</v>
      </c>
    </row>
    <row r="54" spans="1:8" ht="17.399999999999999" customHeight="1" x14ac:dyDescent="0.3">
      <c r="A54" s="5">
        <v>2</v>
      </c>
      <c r="B54" s="50">
        <v>44926</v>
      </c>
      <c r="C54" s="31" t="s">
        <v>50</v>
      </c>
      <c r="D54" s="36" t="s">
        <v>65</v>
      </c>
      <c r="E54" s="31" t="s">
        <v>40</v>
      </c>
      <c r="F54" s="31" t="s">
        <v>11</v>
      </c>
      <c r="G54" s="30">
        <v>689.98</v>
      </c>
      <c r="H54" s="32" t="s">
        <v>53</v>
      </c>
    </row>
    <row r="55" spans="1:8" ht="17.399999999999999" customHeight="1" x14ac:dyDescent="0.3">
      <c r="A55" s="5">
        <v>2</v>
      </c>
      <c r="B55" s="50">
        <v>44926</v>
      </c>
      <c r="C55" s="31" t="s">
        <v>50</v>
      </c>
      <c r="D55" s="32" t="s">
        <v>64</v>
      </c>
      <c r="E55" s="31" t="s">
        <v>38</v>
      </c>
      <c r="F55" s="31" t="s">
        <v>33</v>
      </c>
      <c r="G55" s="30">
        <v>301.3</v>
      </c>
      <c r="H55" s="32" t="s">
        <v>53</v>
      </c>
    </row>
    <row r="56" spans="1:8" ht="17.399999999999999" customHeight="1" x14ac:dyDescent="0.3">
      <c r="A56" s="5">
        <v>2</v>
      </c>
      <c r="B56" s="35">
        <v>44951</v>
      </c>
      <c r="C56" s="31" t="s">
        <v>50</v>
      </c>
      <c r="D56" s="31" t="s">
        <v>51</v>
      </c>
      <c r="E56" s="31" t="s">
        <v>52</v>
      </c>
      <c r="F56" s="31" t="s">
        <v>11</v>
      </c>
      <c r="G56" s="30">
        <v>748.42</v>
      </c>
      <c r="H56" s="33" t="s">
        <v>53</v>
      </c>
    </row>
    <row r="57" spans="1:8" ht="17.399999999999999" customHeight="1" x14ac:dyDescent="0.3">
      <c r="A57" s="5">
        <v>2</v>
      </c>
      <c r="B57" s="35">
        <v>44951</v>
      </c>
      <c r="C57" s="31" t="s">
        <v>50</v>
      </c>
      <c r="D57" s="31" t="s">
        <v>60</v>
      </c>
      <c r="E57" s="31" t="s">
        <v>40</v>
      </c>
      <c r="F57" s="31" t="s">
        <v>33</v>
      </c>
      <c r="G57" s="30">
        <v>748.42</v>
      </c>
      <c r="H57" s="33" t="s">
        <v>53</v>
      </c>
    </row>
    <row r="58" spans="1:8" ht="17.399999999999999" customHeight="1" x14ac:dyDescent="0.3">
      <c r="A58" s="5">
        <v>2</v>
      </c>
      <c r="B58" s="50">
        <v>44957</v>
      </c>
      <c r="C58" s="31" t="s">
        <v>50</v>
      </c>
      <c r="D58" s="32" t="s">
        <v>63</v>
      </c>
      <c r="E58" s="31" t="s">
        <v>40</v>
      </c>
      <c r="F58" s="31" t="s">
        <v>11</v>
      </c>
      <c r="G58" s="52">
        <v>1412.31</v>
      </c>
      <c r="H58" s="48" t="s">
        <v>53</v>
      </c>
    </row>
    <row r="59" spans="1:8" ht="17.399999999999999" customHeight="1" x14ac:dyDescent="0.3">
      <c r="A59" s="5">
        <v>2</v>
      </c>
      <c r="B59" s="50">
        <v>44957</v>
      </c>
      <c r="C59" s="31" t="s">
        <v>50</v>
      </c>
      <c r="D59" s="31" t="s">
        <v>64</v>
      </c>
      <c r="E59" s="31" t="s">
        <v>38</v>
      </c>
      <c r="F59" s="31" t="s">
        <v>33</v>
      </c>
      <c r="G59" s="30">
        <v>400</v>
      </c>
      <c r="H59" s="33" t="s">
        <v>53</v>
      </c>
    </row>
    <row r="60" spans="1:8" ht="17.399999999999999" customHeight="1" x14ac:dyDescent="0.3">
      <c r="A60" s="5">
        <v>2</v>
      </c>
      <c r="B60" s="35">
        <v>44984</v>
      </c>
      <c r="C60" s="31" t="s">
        <v>50</v>
      </c>
      <c r="D60" s="31" t="s">
        <v>51</v>
      </c>
      <c r="E60" s="31" t="s">
        <v>52</v>
      </c>
      <c r="F60" s="31" t="s">
        <v>11</v>
      </c>
      <c r="G60" s="30">
        <v>1789.51</v>
      </c>
      <c r="H60" s="33" t="s">
        <v>53</v>
      </c>
    </row>
    <row r="61" spans="1:8" ht="17.399999999999999" customHeight="1" x14ac:dyDescent="0.3">
      <c r="A61" s="5">
        <v>2</v>
      </c>
      <c r="B61" s="35">
        <v>44984</v>
      </c>
      <c r="C61" s="31" t="s">
        <v>50</v>
      </c>
      <c r="D61" s="31" t="s">
        <v>60</v>
      </c>
      <c r="E61" s="31" t="s">
        <v>40</v>
      </c>
      <c r="F61" s="31" t="s">
        <v>33</v>
      </c>
      <c r="G61" s="30">
        <v>1318.11</v>
      </c>
      <c r="H61" s="33" t="s">
        <v>53</v>
      </c>
    </row>
    <row r="62" spans="1:8" ht="17.399999999999999" customHeight="1" x14ac:dyDescent="0.3">
      <c r="A62" s="5">
        <v>2</v>
      </c>
      <c r="B62" s="50">
        <v>44984</v>
      </c>
      <c r="C62" s="31" t="s">
        <v>50</v>
      </c>
      <c r="D62" s="31" t="s">
        <v>64</v>
      </c>
      <c r="E62" s="31" t="s">
        <v>38</v>
      </c>
      <c r="F62" s="31" t="s">
        <v>33</v>
      </c>
      <c r="G62" s="30">
        <v>400</v>
      </c>
      <c r="H62" s="33" t="s">
        <v>53</v>
      </c>
    </row>
    <row r="63" spans="1:8" ht="17.399999999999999" customHeight="1" x14ac:dyDescent="0.3">
      <c r="A63" s="5">
        <v>2</v>
      </c>
      <c r="B63" s="50">
        <v>45016</v>
      </c>
      <c r="C63" s="31" t="s">
        <v>50</v>
      </c>
      <c r="D63" s="31" t="s">
        <v>63</v>
      </c>
      <c r="E63" s="31" t="s">
        <v>40</v>
      </c>
      <c r="F63" s="31" t="s">
        <v>11</v>
      </c>
      <c r="G63" s="52">
        <v>2260.42</v>
      </c>
      <c r="H63" s="33" t="s">
        <v>53</v>
      </c>
    </row>
    <row r="64" spans="1:8" ht="17.399999999999999" customHeight="1" x14ac:dyDescent="0.3">
      <c r="A64" s="5">
        <v>2</v>
      </c>
      <c r="B64" s="50">
        <v>45016</v>
      </c>
      <c r="C64" s="31" t="s">
        <v>50</v>
      </c>
      <c r="D64" s="31" t="s">
        <v>64</v>
      </c>
      <c r="E64" s="31" t="s">
        <v>38</v>
      </c>
      <c r="F64" s="31" t="s">
        <v>33</v>
      </c>
      <c r="G64" s="30">
        <v>400</v>
      </c>
      <c r="H64" s="33" t="s">
        <v>53</v>
      </c>
    </row>
    <row r="65" spans="1:8" ht="17.399999999999999" customHeight="1" x14ac:dyDescent="0.3">
      <c r="A65" s="5">
        <v>2</v>
      </c>
      <c r="B65" s="35">
        <v>45046</v>
      </c>
      <c r="C65" s="31" t="s">
        <v>50</v>
      </c>
      <c r="D65" s="31" t="s">
        <v>51</v>
      </c>
      <c r="E65" s="31" t="s">
        <v>52</v>
      </c>
      <c r="F65" s="31" t="s">
        <v>11</v>
      </c>
      <c r="G65" s="30">
        <v>500</v>
      </c>
      <c r="H65" s="33" t="s">
        <v>53</v>
      </c>
    </row>
    <row r="66" spans="1:8" ht="17.399999999999999" customHeight="1" x14ac:dyDescent="0.3">
      <c r="A66" s="5">
        <v>2</v>
      </c>
      <c r="B66" s="35">
        <v>45046</v>
      </c>
      <c r="C66" s="31" t="s">
        <v>50</v>
      </c>
      <c r="D66" s="31" t="s">
        <v>60</v>
      </c>
      <c r="E66" s="31" t="s">
        <v>40</v>
      </c>
      <c r="F66" s="31" t="s">
        <v>33</v>
      </c>
      <c r="G66" s="30">
        <v>976.77</v>
      </c>
      <c r="H66" s="33" t="s">
        <v>53</v>
      </c>
    </row>
    <row r="67" spans="1:8" ht="17.399999999999999" customHeight="1" x14ac:dyDescent="0.3">
      <c r="A67" s="5">
        <v>2</v>
      </c>
      <c r="B67" s="35">
        <v>45046</v>
      </c>
      <c r="C67" s="31" t="s">
        <v>50</v>
      </c>
      <c r="D67" s="31" t="s">
        <v>64</v>
      </c>
      <c r="E67" s="31" t="s">
        <v>38</v>
      </c>
      <c r="F67" s="31" t="s">
        <v>33</v>
      </c>
      <c r="G67" s="52">
        <v>700</v>
      </c>
      <c r="H67" s="33" t="s">
        <v>53</v>
      </c>
    </row>
    <row r="68" spans="1:8" ht="17.399999999999999" customHeight="1" x14ac:dyDescent="0.3">
      <c r="A68" s="5">
        <v>2</v>
      </c>
      <c r="B68" s="35">
        <v>45068</v>
      </c>
      <c r="C68" s="31" t="s">
        <v>50</v>
      </c>
      <c r="D68" s="31" t="s">
        <v>51</v>
      </c>
      <c r="E68" s="31" t="s">
        <v>52</v>
      </c>
      <c r="F68" s="31" t="s">
        <v>11</v>
      </c>
      <c r="G68" s="30">
        <v>380.28</v>
      </c>
      <c r="H68" s="33" t="s">
        <v>53</v>
      </c>
    </row>
    <row r="69" spans="1:8" ht="17.399999999999999" customHeight="1" x14ac:dyDescent="0.3">
      <c r="A69" s="5">
        <v>2</v>
      </c>
      <c r="B69" s="50">
        <v>45077</v>
      </c>
      <c r="C69" s="31" t="s">
        <v>50</v>
      </c>
      <c r="D69" s="31" t="s">
        <v>63</v>
      </c>
      <c r="E69" s="31" t="s">
        <v>40</v>
      </c>
      <c r="F69" s="31" t="s">
        <v>11</v>
      </c>
      <c r="G69" s="52">
        <v>980.2</v>
      </c>
      <c r="H69" s="33" t="s">
        <v>53</v>
      </c>
    </row>
    <row r="70" spans="1:8" ht="17.399999999999999" customHeight="1" x14ac:dyDescent="0.3">
      <c r="A70" s="5">
        <v>2</v>
      </c>
      <c r="B70" s="50">
        <v>45077</v>
      </c>
      <c r="C70" s="31" t="s">
        <v>50</v>
      </c>
      <c r="D70" s="31" t="s">
        <v>64</v>
      </c>
      <c r="E70" s="31" t="s">
        <v>38</v>
      </c>
      <c r="F70" s="31" t="s">
        <v>33</v>
      </c>
      <c r="G70" s="52">
        <v>700</v>
      </c>
      <c r="H70" s="33" t="s">
        <v>53</v>
      </c>
    </row>
    <row r="71" spans="1:8" ht="17.399999999999999" customHeight="1" x14ac:dyDescent="0.3">
      <c r="A71" s="5">
        <v>2</v>
      </c>
      <c r="B71" s="35">
        <v>45090</v>
      </c>
      <c r="C71" s="31" t="s">
        <v>50</v>
      </c>
      <c r="D71" s="31" t="s">
        <v>51</v>
      </c>
      <c r="E71" s="31" t="s">
        <v>52</v>
      </c>
      <c r="F71" s="31" t="s">
        <v>11</v>
      </c>
      <c r="G71" s="30">
        <v>500</v>
      </c>
      <c r="H71" s="33" t="s">
        <v>53</v>
      </c>
    </row>
    <row r="72" spans="1:8" ht="17.399999999999999" customHeight="1" x14ac:dyDescent="0.3">
      <c r="A72" s="5">
        <v>2</v>
      </c>
      <c r="B72" s="35">
        <v>45090</v>
      </c>
      <c r="C72" s="31" t="s">
        <v>50</v>
      </c>
      <c r="D72" s="31" t="s">
        <v>60</v>
      </c>
      <c r="E72" s="31" t="s">
        <v>40</v>
      </c>
      <c r="F72" s="31" t="s">
        <v>33</v>
      </c>
      <c r="G72" s="30">
        <v>426.33</v>
      </c>
      <c r="H72" s="33" t="s">
        <v>53</v>
      </c>
    </row>
    <row r="73" spans="1:8" ht="17.399999999999999" customHeight="1" x14ac:dyDescent="0.3">
      <c r="A73" s="5">
        <v>2</v>
      </c>
      <c r="B73" s="50">
        <v>45107</v>
      </c>
      <c r="C73" s="31" t="s">
        <v>50</v>
      </c>
      <c r="D73" s="31" t="s">
        <v>64</v>
      </c>
      <c r="E73" s="31" t="s">
        <v>38</v>
      </c>
      <c r="F73" s="31" t="s">
        <v>33</v>
      </c>
      <c r="G73" s="52">
        <v>700</v>
      </c>
      <c r="H73" s="33" t="s">
        <v>53</v>
      </c>
    </row>
    <row r="74" spans="1:8" ht="17.399999999999999" customHeight="1" x14ac:dyDescent="0.3">
      <c r="A74" s="5">
        <v>2</v>
      </c>
      <c r="B74" s="35">
        <v>45124</v>
      </c>
      <c r="C74" s="31" t="s">
        <v>50</v>
      </c>
      <c r="D74" s="31" t="s">
        <v>51</v>
      </c>
      <c r="E74" s="31" t="s">
        <v>52</v>
      </c>
      <c r="F74" s="31" t="s">
        <v>11</v>
      </c>
      <c r="G74" s="30">
        <v>500</v>
      </c>
      <c r="H74" s="33" t="s">
        <v>53</v>
      </c>
    </row>
    <row r="75" spans="1:8" ht="17.399999999999999" customHeight="1" x14ac:dyDescent="0.3">
      <c r="A75" s="5">
        <v>2</v>
      </c>
      <c r="B75" s="35">
        <v>45124</v>
      </c>
      <c r="C75" s="31" t="s">
        <v>50</v>
      </c>
      <c r="D75" s="31" t="s">
        <v>60</v>
      </c>
      <c r="E75" s="31" t="s">
        <v>40</v>
      </c>
      <c r="F75" s="31" t="s">
        <v>33</v>
      </c>
      <c r="G75" s="30">
        <v>343.63</v>
      </c>
      <c r="H75" s="33" t="s">
        <v>53</v>
      </c>
    </row>
    <row r="76" spans="1:8" ht="17.399999999999999" customHeight="1" x14ac:dyDescent="0.3">
      <c r="A76" s="5">
        <v>2</v>
      </c>
      <c r="B76" s="50">
        <v>45138</v>
      </c>
      <c r="C76" s="31" t="s">
        <v>50</v>
      </c>
      <c r="D76" s="31" t="s">
        <v>64</v>
      </c>
      <c r="E76" s="31" t="s">
        <v>38</v>
      </c>
      <c r="F76" s="31" t="s">
        <v>33</v>
      </c>
      <c r="G76" s="52">
        <v>700</v>
      </c>
      <c r="H76" s="33" t="s">
        <v>53</v>
      </c>
    </row>
    <row r="77" spans="1:8" ht="17.399999999999999" customHeight="1" x14ac:dyDescent="0.3">
      <c r="A77" s="5">
        <v>2</v>
      </c>
      <c r="B77" s="35">
        <v>45141</v>
      </c>
      <c r="C77" s="31" t="s">
        <v>50</v>
      </c>
      <c r="D77" s="31" t="s">
        <v>51</v>
      </c>
      <c r="E77" s="31" t="s">
        <v>52</v>
      </c>
      <c r="F77" s="31" t="s">
        <v>11</v>
      </c>
      <c r="G77" s="30">
        <v>500</v>
      </c>
      <c r="H77" s="33" t="s">
        <v>53</v>
      </c>
    </row>
    <row r="78" spans="1:8" ht="17.399999999999999" customHeight="1" x14ac:dyDescent="0.3">
      <c r="A78" s="5">
        <v>2</v>
      </c>
      <c r="B78" s="35">
        <v>45141</v>
      </c>
      <c r="C78" s="31" t="s">
        <v>50</v>
      </c>
      <c r="D78" s="31" t="s">
        <v>60</v>
      </c>
      <c r="E78" s="31" t="s">
        <v>40</v>
      </c>
      <c r="F78" s="31" t="s">
        <v>33</v>
      </c>
      <c r="G78" s="30">
        <v>500</v>
      </c>
      <c r="H78" s="33" t="s">
        <v>53</v>
      </c>
    </row>
    <row r="79" spans="1:8" ht="17.399999999999999" customHeight="1" x14ac:dyDescent="0.3">
      <c r="A79" s="5">
        <v>2</v>
      </c>
      <c r="B79" s="35">
        <v>45147</v>
      </c>
      <c r="C79" s="31" t="s">
        <v>50</v>
      </c>
      <c r="D79" s="31" t="s">
        <v>51</v>
      </c>
      <c r="E79" s="31" t="s">
        <v>52</v>
      </c>
      <c r="F79" s="31" t="s">
        <v>11</v>
      </c>
      <c r="G79" s="30">
        <v>300</v>
      </c>
      <c r="H79" s="33" t="s">
        <v>53</v>
      </c>
    </row>
    <row r="80" spans="1:8" ht="17.399999999999999" customHeight="1" x14ac:dyDescent="0.3">
      <c r="A80" s="5">
        <v>2</v>
      </c>
      <c r="B80" s="35">
        <v>45147</v>
      </c>
      <c r="C80" s="31" t="s">
        <v>50</v>
      </c>
      <c r="D80" s="31" t="s">
        <v>60</v>
      </c>
      <c r="E80" s="31" t="s">
        <v>40</v>
      </c>
      <c r="F80" s="31" t="s">
        <v>33</v>
      </c>
      <c r="G80" s="30">
        <v>300</v>
      </c>
      <c r="H80" s="33" t="s">
        <v>53</v>
      </c>
    </row>
    <row r="81" spans="1:11" ht="17.399999999999999" customHeight="1" x14ac:dyDescent="0.3">
      <c r="A81" s="5">
        <v>2</v>
      </c>
      <c r="B81" s="35">
        <v>45169</v>
      </c>
      <c r="C81" s="31" t="s">
        <v>50</v>
      </c>
      <c r="D81" s="31" t="s">
        <v>51</v>
      </c>
      <c r="E81" s="31" t="s">
        <v>52</v>
      </c>
      <c r="F81" s="31" t="s">
        <v>11</v>
      </c>
      <c r="G81" s="30">
        <v>1500</v>
      </c>
      <c r="H81" s="33" t="s">
        <v>53</v>
      </c>
    </row>
    <row r="82" spans="1:11" ht="17.399999999999999" customHeight="1" x14ac:dyDescent="0.3">
      <c r="A82" s="5">
        <v>2</v>
      </c>
      <c r="B82" s="35">
        <v>45169</v>
      </c>
      <c r="C82" s="31" t="s">
        <v>50</v>
      </c>
      <c r="D82" s="31" t="s">
        <v>60</v>
      </c>
      <c r="E82" s="31" t="s">
        <v>40</v>
      </c>
      <c r="F82" s="31" t="s">
        <v>33</v>
      </c>
      <c r="G82" s="30">
        <v>700.06</v>
      </c>
      <c r="H82" s="33" t="s">
        <v>53</v>
      </c>
    </row>
    <row r="83" spans="1:11" ht="17.399999999999999" customHeight="1" x14ac:dyDescent="0.3">
      <c r="A83" s="5">
        <v>2</v>
      </c>
      <c r="B83" s="50">
        <v>45169</v>
      </c>
      <c r="C83" s="31" t="s">
        <v>50</v>
      </c>
      <c r="D83" s="31" t="s">
        <v>63</v>
      </c>
      <c r="E83" s="31" t="s">
        <v>40</v>
      </c>
      <c r="F83" s="31" t="s">
        <v>11</v>
      </c>
      <c r="G83" s="52">
        <v>2956.44</v>
      </c>
      <c r="H83" s="33" t="s">
        <v>53</v>
      </c>
    </row>
    <row r="84" spans="1:11" ht="17.399999999999999" customHeight="1" x14ac:dyDescent="0.3">
      <c r="A84" s="5">
        <v>2</v>
      </c>
      <c r="B84" s="50">
        <v>45169</v>
      </c>
      <c r="C84" s="31" t="s">
        <v>50</v>
      </c>
      <c r="D84" s="31" t="s">
        <v>64</v>
      </c>
      <c r="E84" s="31" t="s">
        <v>38</v>
      </c>
      <c r="F84" s="31" t="s">
        <v>33</v>
      </c>
      <c r="G84" s="52">
        <v>700</v>
      </c>
      <c r="H84" s="33" t="s">
        <v>53</v>
      </c>
    </row>
    <row r="85" spans="1:11" ht="17.399999999999999" customHeight="1" x14ac:dyDescent="0.3">
      <c r="A85" s="5">
        <v>2</v>
      </c>
      <c r="B85" s="50">
        <v>45199</v>
      </c>
      <c r="C85" s="31" t="s">
        <v>50</v>
      </c>
      <c r="D85" s="31" t="s">
        <v>60</v>
      </c>
      <c r="E85" s="31" t="s">
        <v>40</v>
      </c>
      <c r="F85" s="31" t="s">
        <v>33</v>
      </c>
      <c r="G85" s="30">
        <v>147.12</v>
      </c>
      <c r="H85" s="33" t="s">
        <v>53</v>
      </c>
      <c r="K85" s="9"/>
    </row>
    <row r="86" spans="1:11" ht="17.399999999999999" customHeight="1" x14ac:dyDescent="0.3">
      <c r="A86" s="5">
        <v>2</v>
      </c>
      <c r="B86" s="50">
        <v>45199</v>
      </c>
      <c r="C86" s="31" t="s">
        <v>50</v>
      </c>
      <c r="D86" s="31" t="s">
        <v>64</v>
      </c>
      <c r="E86" s="31" t="s">
        <v>38</v>
      </c>
      <c r="F86" s="31" t="s">
        <v>33</v>
      </c>
      <c r="G86" s="52">
        <v>700</v>
      </c>
      <c r="H86" s="33" t="s">
        <v>53</v>
      </c>
    </row>
    <row r="87" spans="1:11" ht="17.399999999999999" customHeight="1" x14ac:dyDescent="0.3">
      <c r="A87" s="5">
        <v>2</v>
      </c>
      <c r="B87" s="35">
        <v>45201</v>
      </c>
      <c r="C87" s="31" t="s">
        <v>50</v>
      </c>
      <c r="D87" s="31" t="s">
        <v>51</v>
      </c>
      <c r="E87" s="31" t="s">
        <v>52</v>
      </c>
      <c r="F87" s="31" t="s">
        <v>11</v>
      </c>
      <c r="G87" s="30">
        <v>700</v>
      </c>
      <c r="H87" s="33" t="s">
        <v>53</v>
      </c>
    </row>
    <row r="88" spans="1:11" ht="17.399999999999999" customHeight="1" x14ac:dyDescent="0.3">
      <c r="A88" s="5">
        <v>2</v>
      </c>
      <c r="B88" s="35">
        <v>45201</v>
      </c>
      <c r="C88" s="31" t="s">
        <v>50</v>
      </c>
      <c r="D88" s="31" t="s">
        <v>60</v>
      </c>
      <c r="E88" s="31" t="s">
        <v>40</v>
      </c>
      <c r="F88" s="31" t="s">
        <v>33</v>
      </c>
      <c r="G88" s="30">
        <v>700</v>
      </c>
      <c r="H88" s="33" t="s">
        <v>53</v>
      </c>
      <c r="K88" s="9"/>
    </row>
    <row r="89" spans="1:11" ht="17.399999999999999" customHeight="1" x14ac:dyDescent="0.3">
      <c r="A89" s="5">
        <v>2</v>
      </c>
      <c r="B89" s="35">
        <v>45230</v>
      </c>
      <c r="C89" s="31" t="s">
        <v>50</v>
      </c>
      <c r="D89" s="31" t="s">
        <v>51</v>
      </c>
      <c r="E89" s="31" t="s">
        <v>52</v>
      </c>
      <c r="F89" s="31" t="s">
        <v>11</v>
      </c>
      <c r="G89" s="30">
        <v>1200</v>
      </c>
      <c r="H89" s="33" t="s">
        <v>53</v>
      </c>
    </row>
    <row r="90" spans="1:11" ht="17.399999999999999" customHeight="1" x14ac:dyDescent="0.3">
      <c r="A90" s="5">
        <v>2</v>
      </c>
      <c r="B90" s="35">
        <v>45230</v>
      </c>
      <c r="C90" s="31" t="s">
        <v>50</v>
      </c>
      <c r="D90" s="31" t="s">
        <v>60</v>
      </c>
      <c r="E90" s="31" t="s">
        <v>40</v>
      </c>
      <c r="F90" s="31" t="s">
        <v>33</v>
      </c>
      <c r="G90" s="30">
        <v>450</v>
      </c>
      <c r="H90" s="33" t="s">
        <v>53</v>
      </c>
    </row>
    <row r="91" spans="1:11" ht="17.399999999999999" customHeight="1" x14ac:dyDescent="0.3">
      <c r="A91" s="5">
        <v>2</v>
      </c>
      <c r="B91" s="50">
        <v>45230</v>
      </c>
      <c r="C91" s="31" t="s">
        <v>50</v>
      </c>
      <c r="D91" s="31" t="s">
        <v>64</v>
      </c>
      <c r="E91" s="31" t="s">
        <v>38</v>
      </c>
      <c r="F91" s="31" t="s">
        <v>33</v>
      </c>
      <c r="G91" s="52">
        <v>1200</v>
      </c>
      <c r="H91" s="33" t="s">
        <v>53</v>
      </c>
    </row>
    <row r="92" spans="1:11" ht="17.399999999999999" customHeight="1" x14ac:dyDescent="0.3">
      <c r="A92" s="5">
        <v>2</v>
      </c>
      <c r="B92" s="35">
        <v>45260</v>
      </c>
      <c r="C92" s="31" t="s">
        <v>50</v>
      </c>
      <c r="D92" s="31" t="s">
        <v>51</v>
      </c>
      <c r="E92" s="31" t="s">
        <v>52</v>
      </c>
      <c r="F92" s="31" t="s">
        <v>11</v>
      </c>
      <c r="G92" s="30">
        <v>1500</v>
      </c>
      <c r="H92" s="33" t="s">
        <v>53</v>
      </c>
    </row>
    <row r="93" spans="1:11" ht="17.399999999999999" customHeight="1" x14ac:dyDescent="0.3">
      <c r="A93" s="5">
        <v>2</v>
      </c>
      <c r="B93" s="35">
        <v>45260</v>
      </c>
      <c r="C93" s="31" t="s">
        <v>50</v>
      </c>
      <c r="D93" s="31" t="s">
        <v>60</v>
      </c>
      <c r="E93" s="31" t="s">
        <v>40</v>
      </c>
      <c r="F93" s="31" t="s">
        <v>33</v>
      </c>
      <c r="G93" s="30">
        <v>250</v>
      </c>
      <c r="H93" s="33" t="s">
        <v>53</v>
      </c>
    </row>
    <row r="94" spans="1:11" ht="17.399999999999999" customHeight="1" x14ac:dyDescent="0.3">
      <c r="A94" s="5">
        <v>2</v>
      </c>
      <c r="B94" s="50">
        <v>45260</v>
      </c>
      <c r="C94" s="31" t="s">
        <v>50</v>
      </c>
      <c r="D94" s="31" t="s">
        <v>64</v>
      </c>
      <c r="E94" s="31" t="s">
        <v>38</v>
      </c>
      <c r="F94" s="31" t="s">
        <v>33</v>
      </c>
      <c r="G94" s="52">
        <v>1200</v>
      </c>
      <c r="H94" s="33" t="s">
        <v>53</v>
      </c>
    </row>
    <row r="95" spans="1:11" ht="17.399999999999999" customHeight="1" x14ac:dyDescent="0.3">
      <c r="A95" s="5">
        <v>2</v>
      </c>
      <c r="B95" s="35">
        <v>45291</v>
      </c>
      <c r="C95" s="31" t="s">
        <v>50</v>
      </c>
      <c r="D95" s="31" t="s">
        <v>54</v>
      </c>
      <c r="E95" s="31" t="s">
        <v>52</v>
      </c>
      <c r="F95" s="31" t="s">
        <v>11</v>
      </c>
      <c r="G95" s="30">
        <v>650</v>
      </c>
      <c r="H95" s="33" t="s">
        <v>53</v>
      </c>
    </row>
    <row r="96" spans="1:11" ht="17.399999999999999" customHeight="1" x14ac:dyDescent="0.3">
      <c r="A96" s="5">
        <v>2</v>
      </c>
      <c r="B96" s="35">
        <v>45291</v>
      </c>
      <c r="C96" s="31" t="s">
        <v>50</v>
      </c>
      <c r="D96" s="31" t="s">
        <v>55</v>
      </c>
      <c r="E96" s="31" t="s">
        <v>52</v>
      </c>
      <c r="F96" s="31" t="s">
        <v>11</v>
      </c>
      <c r="G96" s="30">
        <v>2500</v>
      </c>
      <c r="H96" s="33" t="s">
        <v>53</v>
      </c>
    </row>
    <row r="97" spans="1:11" ht="17.399999999999999" customHeight="1" x14ac:dyDescent="0.3">
      <c r="A97" s="5">
        <v>2</v>
      </c>
      <c r="B97" s="50">
        <v>45291</v>
      </c>
      <c r="C97" s="31" t="s">
        <v>50</v>
      </c>
      <c r="D97" s="31" t="s">
        <v>64</v>
      </c>
      <c r="E97" s="31" t="s">
        <v>38</v>
      </c>
      <c r="F97" s="31" t="s">
        <v>33</v>
      </c>
      <c r="G97" s="52">
        <v>1200</v>
      </c>
      <c r="H97" s="33" t="s">
        <v>53</v>
      </c>
    </row>
    <row r="98" spans="1:11" ht="17.399999999999999" customHeight="1" x14ac:dyDescent="0.3">
      <c r="A98" s="5">
        <v>2</v>
      </c>
      <c r="B98" s="35">
        <v>45322</v>
      </c>
      <c r="C98" s="31" t="s">
        <v>50</v>
      </c>
      <c r="D98" s="31" t="s">
        <v>51</v>
      </c>
      <c r="E98" s="31" t="s">
        <v>52</v>
      </c>
      <c r="F98" s="31" t="s">
        <v>11</v>
      </c>
      <c r="G98" s="41">
        <v>2100</v>
      </c>
      <c r="H98" s="33" t="s">
        <v>53</v>
      </c>
    </row>
    <row r="99" spans="1:11" ht="17.399999999999999" customHeight="1" x14ac:dyDescent="0.3">
      <c r="A99" s="5">
        <v>2</v>
      </c>
      <c r="B99" s="50">
        <v>45322</v>
      </c>
      <c r="C99" s="31" t="s">
        <v>50</v>
      </c>
      <c r="D99" s="31" t="s">
        <v>64</v>
      </c>
      <c r="E99" s="31" t="s">
        <v>38</v>
      </c>
      <c r="F99" s="31" t="s">
        <v>33</v>
      </c>
      <c r="G99" s="52">
        <v>1980</v>
      </c>
      <c r="H99" s="33" t="s">
        <v>53</v>
      </c>
    </row>
    <row r="100" spans="1:11" ht="17.399999999999999" customHeight="1" x14ac:dyDescent="0.3">
      <c r="A100" s="5">
        <v>2</v>
      </c>
      <c r="B100" s="50">
        <v>45322</v>
      </c>
      <c r="C100" s="31" t="s">
        <v>50</v>
      </c>
      <c r="D100" s="31" t="s">
        <v>67</v>
      </c>
      <c r="E100" s="31" t="s">
        <v>48</v>
      </c>
      <c r="F100" s="31" t="s">
        <v>11</v>
      </c>
      <c r="G100" s="52">
        <v>679.95</v>
      </c>
      <c r="H100" s="33" t="s">
        <v>53</v>
      </c>
    </row>
    <row r="101" spans="1:11" ht="17.399999999999999" customHeight="1" x14ac:dyDescent="0.3">
      <c r="A101" s="5">
        <v>2</v>
      </c>
      <c r="B101" s="35">
        <v>45350</v>
      </c>
      <c r="C101" s="31" t="s">
        <v>50</v>
      </c>
      <c r="D101" s="31" t="s">
        <v>51</v>
      </c>
      <c r="E101" s="31" t="s">
        <v>52</v>
      </c>
      <c r="F101" s="31" t="s">
        <v>11</v>
      </c>
      <c r="G101" s="41">
        <v>1100</v>
      </c>
      <c r="H101" s="33" t="s">
        <v>53</v>
      </c>
    </row>
    <row r="102" spans="1:11" ht="17.399999999999999" customHeight="1" x14ac:dyDescent="0.3">
      <c r="A102" s="5">
        <v>2</v>
      </c>
      <c r="B102" s="50">
        <v>45350</v>
      </c>
      <c r="C102" s="31" t="s">
        <v>50</v>
      </c>
      <c r="D102" s="31" t="s">
        <v>63</v>
      </c>
      <c r="E102" s="31" t="s">
        <v>40</v>
      </c>
      <c r="F102" s="31" t="s">
        <v>11</v>
      </c>
      <c r="G102" s="52">
        <v>300</v>
      </c>
      <c r="H102" s="33" t="s">
        <v>53</v>
      </c>
    </row>
    <row r="103" spans="1:11" ht="17.399999999999999" customHeight="1" x14ac:dyDescent="0.3">
      <c r="A103" s="5">
        <v>2</v>
      </c>
      <c r="B103" s="50">
        <v>45350</v>
      </c>
      <c r="C103" s="31" t="s">
        <v>50</v>
      </c>
      <c r="D103" s="31" t="s">
        <v>64</v>
      </c>
      <c r="E103" s="31" t="s">
        <v>38</v>
      </c>
      <c r="F103" s="31" t="s">
        <v>33</v>
      </c>
      <c r="G103" s="52">
        <v>1980</v>
      </c>
      <c r="H103" s="33" t="s">
        <v>53</v>
      </c>
    </row>
    <row r="104" spans="1:11" ht="17.399999999999999" customHeight="1" x14ac:dyDescent="0.3">
      <c r="A104" s="5">
        <v>2</v>
      </c>
      <c r="B104" s="35">
        <v>45382</v>
      </c>
      <c r="C104" s="31" t="s">
        <v>50</v>
      </c>
      <c r="D104" s="31" t="s">
        <v>51</v>
      </c>
      <c r="E104" s="31" t="s">
        <v>52</v>
      </c>
      <c r="F104" s="31" t="s">
        <v>11</v>
      </c>
      <c r="G104" s="41">
        <v>1900</v>
      </c>
      <c r="H104" s="33" t="s">
        <v>53</v>
      </c>
    </row>
    <row r="105" spans="1:11" ht="17.399999999999999" customHeight="1" x14ac:dyDescent="0.3">
      <c r="A105" s="5">
        <v>2</v>
      </c>
      <c r="B105" s="50">
        <v>45382</v>
      </c>
      <c r="C105" s="31" t="s">
        <v>50</v>
      </c>
      <c r="D105" s="31" t="s">
        <v>63</v>
      </c>
      <c r="E105" s="31" t="s">
        <v>40</v>
      </c>
      <c r="F105" s="31" t="s">
        <v>11</v>
      </c>
      <c r="G105" s="52">
        <v>962.5</v>
      </c>
      <c r="H105" s="33" t="s">
        <v>53</v>
      </c>
      <c r="J105" s="53"/>
    </row>
    <row r="106" spans="1:11" ht="17.399999999999999" customHeight="1" x14ac:dyDescent="0.3">
      <c r="A106" s="5">
        <v>2</v>
      </c>
      <c r="B106" s="50">
        <v>45382</v>
      </c>
      <c r="C106" s="31" t="s">
        <v>50</v>
      </c>
      <c r="D106" s="31" t="s">
        <v>64</v>
      </c>
      <c r="E106" s="31" t="s">
        <v>38</v>
      </c>
      <c r="F106" s="31" t="s">
        <v>33</v>
      </c>
      <c r="G106" s="52">
        <v>1980</v>
      </c>
      <c r="H106" s="33" t="s">
        <v>53</v>
      </c>
      <c r="J106" s="53"/>
    </row>
    <row r="107" spans="1:11" ht="17.399999999999999" customHeight="1" x14ac:dyDescent="0.3">
      <c r="A107" s="5">
        <v>2</v>
      </c>
      <c r="B107" s="35">
        <v>45412</v>
      </c>
      <c r="C107" s="31" t="s">
        <v>50</v>
      </c>
      <c r="D107" s="31" t="s">
        <v>51</v>
      </c>
      <c r="E107" s="31" t="s">
        <v>52</v>
      </c>
      <c r="F107" s="31" t="s">
        <v>11</v>
      </c>
      <c r="G107" s="41">
        <v>1450</v>
      </c>
      <c r="H107" s="33" t="s">
        <v>53</v>
      </c>
      <c r="J107" s="53"/>
    </row>
    <row r="108" spans="1:11" ht="17.399999999999999" customHeight="1" x14ac:dyDescent="0.3">
      <c r="A108" s="5">
        <v>2</v>
      </c>
      <c r="B108" s="35">
        <v>45443</v>
      </c>
      <c r="C108" s="31" t="s">
        <v>50</v>
      </c>
      <c r="D108" s="31" t="s">
        <v>51</v>
      </c>
      <c r="E108" s="31" t="s">
        <v>52</v>
      </c>
      <c r="F108" s="31" t="s">
        <v>11</v>
      </c>
      <c r="G108" s="41">
        <v>769.59</v>
      </c>
      <c r="H108" s="33" t="s">
        <v>53</v>
      </c>
      <c r="J108" s="53"/>
    </row>
    <row r="109" spans="1:11" ht="17.399999999999999" customHeight="1" x14ac:dyDescent="0.3">
      <c r="A109" s="5">
        <v>2</v>
      </c>
      <c r="B109" s="35">
        <v>45443</v>
      </c>
      <c r="C109" s="31" t="s">
        <v>56</v>
      </c>
      <c r="D109" s="31" t="s">
        <v>56</v>
      </c>
      <c r="E109" s="31" t="s">
        <v>52</v>
      </c>
      <c r="F109" s="31" t="s">
        <v>11</v>
      </c>
      <c r="G109" s="30">
        <v>1000</v>
      </c>
      <c r="H109" s="33" t="s">
        <v>53</v>
      </c>
      <c r="J109" s="53"/>
      <c r="K109" s="9"/>
    </row>
    <row r="110" spans="1:11" ht="17.399999999999999" customHeight="1" x14ac:dyDescent="0.3">
      <c r="A110" s="5">
        <v>2</v>
      </c>
      <c r="B110" s="50">
        <v>45443</v>
      </c>
      <c r="C110" s="31" t="s">
        <v>50</v>
      </c>
      <c r="D110" s="31" t="s">
        <v>68</v>
      </c>
      <c r="E110" s="31" t="s">
        <v>40</v>
      </c>
      <c r="F110" s="31" t="s">
        <v>11</v>
      </c>
      <c r="G110" s="52">
        <v>1778.81</v>
      </c>
      <c r="H110" s="33" t="s">
        <v>53</v>
      </c>
      <c r="J110" s="53"/>
    </row>
    <row r="111" spans="1:11" ht="17.399999999999999" customHeight="1" x14ac:dyDescent="0.3">
      <c r="A111" s="5">
        <v>2</v>
      </c>
      <c r="B111" s="35">
        <v>45443</v>
      </c>
      <c r="C111" s="31" t="s">
        <v>50</v>
      </c>
      <c r="D111" s="31" t="s">
        <v>64</v>
      </c>
      <c r="E111" s="31" t="s">
        <v>38</v>
      </c>
      <c r="F111" s="31" t="s">
        <v>33</v>
      </c>
      <c r="G111" s="52">
        <v>1980</v>
      </c>
      <c r="H111" s="33" t="s">
        <v>53</v>
      </c>
      <c r="J111" s="53"/>
    </row>
    <row r="112" spans="1:11" ht="17.399999999999999" customHeight="1" x14ac:dyDescent="0.3">
      <c r="A112" s="5">
        <v>2</v>
      </c>
      <c r="B112" s="35">
        <v>45473</v>
      </c>
      <c r="C112" s="31" t="s">
        <v>50</v>
      </c>
      <c r="D112" s="31" t="s">
        <v>51</v>
      </c>
      <c r="E112" s="31" t="s">
        <v>52</v>
      </c>
      <c r="F112" s="31" t="s">
        <v>11</v>
      </c>
      <c r="G112" s="41">
        <v>1980</v>
      </c>
      <c r="H112" s="33" t="s">
        <v>53</v>
      </c>
      <c r="J112" s="53"/>
    </row>
    <row r="113" spans="1:11" ht="17.399999999999999" customHeight="1" x14ac:dyDescent="0.3">
      <c r="A113" s="5">
        <v>2</v>
      </c>
      <c r="B113" s="35">
        <v>45473</v>
      </c>
      <c r="C113" s="31" t="s">
        <v>50</v>
      </c>
      <c r="D113" s="31" t="s">
        <v>64</v>
      </c>
      <c r="E113" s="31" t="s">
        <v>38</v>
      </c>
      <c r="F113" s="31" t="s">
        <v>33</v>
      </c>
      <c r="G113" s="52">
        <v>1980</v>
      </c>
      <c r="H113" s="33" t="s">
        <v>53</v>
      </c>
      <c r="J113" s="53"/>
    </row>
    <row r="114" spans="1:11" ht="17.399999999999999" customHeight="1" x14ac:dyDescent="0.3">
      <c r="A114" s="5">
        <v>2</v>
      </c>
      <c r="B114" s="50">
        <v>45504</v>
      </c>
      <c r="C114" s="31" t="s">
        <v>50</v>
      </c>
      <c r="D114" s="31" t="s">
        <v>68</v>
      </c>
      <c r="E114" s="31" t="s">
        <v>40</v>
      </c>
      <c r="F114" s="31" t="s">
        <v>11</v>
      </c>
      <c r="G114" s="52">
        <v>2000</v>
      </c>
      <c r="H114" s="33" t="s">
        <v>53</v>
      </c>
      <c r="J114" s="53"/>
    </row>
    <row r="115" spans="1:11" ht="17.399999999999999" customHeight="1" x14ac:dyDescent="0.3">
      <c r="A115" s="5">
        <v>2</v>
      </c>
      <c r="B115" s="50">
        <v>45504</v>
      </c>
      <c r="C115" s="31" t="s">
        <v>50</v>
      </c>
      <c r="D115" s="31" t="s">
        <v>64</v>
      </c>
      <c r="E115" s="31" t="s">
        <v>38</v>
      </c>
      <c r="F115" s="31" t="s">
        <v>33</v>
      </c>
      <c r="G115" s="52">
        <v>1980</v>
      </c>
      <c r="H115" s="33" t="s">
        <v>53</v>
      </c>
      <c r="J115" s="53"/>
    </row>
    <row r="116" spans="1:11" ht="17.399999999999999" customHeight="1" x14ac:dyDescent="0.3">
      <c r="A116" s="5">
        <v>2</v>
      </c>
      <c r="B116" s="50">
        <v>45535</v>
      </c>
      <c r="C116" s="31" t="s">
        <v>50</v>
      </c>
      <c r="D116" s="31" t="s">
        <v>68</v>
      </c>
      <c r="E116" s="31" t="s">
        <v>40</v>
      </c>
      <c r="F116" s="31" t="s">
        <v>11</v>
      </c>
      <c r="G116" s="52">
        <v>1693.75</v>
      </c>
      <c r="H116" s="33" t="s">
        <v>53</v>
      </c>
      <c r="J116" s="53"/>
    </row>
    <row r="117" spans="1:11" ht="17.399999999999999" customHeight="1" x14ac:dyDescent="0.3">
      <c r="A117" s="5">
        <v>2</v>
      </c>
      <c r="B117" s="50">
        <v>45535</v>
      </c>
      <c r="C117" s="31" t="s">
        <v>50</v>
      </c>
      <c r="D117" s="31" t="s">
        <v>64</v>
      </c>
      <c r="E117" s="31" t="s">
        <v>38</v>
      </c>
      <c r="F117" s="31" t="s">
        <v>33</v>
      </c>
      <c r="G117" s="52">
        <v>1200</v>
      </c>
      <c r="H117" s="33" t="s">
        <v>53</v>
      </c>
      <c r="J117" s="53"/>
    </row>
    <row r="118" spans="1:11" ht="17.399999999999999" customHeight="1" x14ac:dyDescent="0.3">
      <c r="A118" s="5">
        <v>2</v>
      </c>
      <c r="B118" s="35">
        <v>45565</v>
      </c>
      <c r="C118" s="31" t="s">
        <v>50</v>
      </c>
      <c r="D118" s="31" t="s">
        <v>51</v>
      </c>
      <c r="E118" s="31" t="s">
        <v>52</v>
      </c>
      <c r="F118" s="31" t="s">
        <v>11</v>
      </c>
      <c r="G118" s="41">
        <v>650</v>
      </c>
      <c r="H118" s="33" t="s">
        <v>53</v>
      </c>
      <c r="J118" s="53"/>
    </row>
    <row r="119" spans="1:11" ht="17.399999999999999" customHeight="1" x14ac:dyDescent="0.3">
      <c r="A119" s="5">
        <v>2</v>
      </c>
      <c r="B119" s="35">
        <v>45565</v>
      </c>
      <c r="C119" s="31" t="s">
        <v>50</v>
      </c>
      <c r="D119" s="31" t="s">
        <v>64</v>
      </c>
      <c r="E119" s="31" t="s">
        <v>38</v>
      </c>
      <c r="F119" s="31" t="s">
        <v>33</v>
      </c>
      <c r="G119" s="52">
        <v>1200</v>
      </c>
      <c r="H119" s="33" t="s">
        <v>53</v>
      </c>
      <c r="J119" s="53"/>
    </row>
    <row r="120" spans="1:11" ht="17.399999999999999" customHeight="1" x14ac:dyDescent="0.3">
      <c r="A120" s="5">
        <v>2</v>
      </c>
      <c r="B120" s="35">
        <v>45596</v>
      </c>
      <c r="C120" s="31" t="s">
        <v>50</v>
      </c>
      <c r="D120" s="31" t="s">
        <v>51</v>
      </c>
      <c r="E120" s="31" t="s">
        <v>52</v>
      </c>
      <c r="F120" s="31" t="s">
        <v>11</v>
      </c>
      <c r="G120" s="41">
        <v>1800</v>
      </c>
      <c r="H120" s="33" t="s">
        <v>53</v>
      </c>
      <c r="J120" s="53"/>
    </row>
    <row r="121" spans="1:11" ht="17.399999999999999" customHeight="1" x14ac:dyDescent="0.3">
      <c r="A121" s="5">
        <v>2</v>
      </c>
      <c r="B121" s="35">
        <v>45596</v>
      </c>
      <c r="C121" s="31" t="s">
        <v>50</v>
      </c>
      <c r="D121" s="31" t="s">
        <v>60</v>
      </c>
      <c r="E121" s="31" t="s">
        <v>40</v>
      </c>
      <c r="F121" s="31" t="s">
        <v>33</v>
      </c>
      <c r="G121" s="30">
        <v>1078</v>
      </c>
      <c r="H121" s="33" t="s">
        <v>53</v>
      </c>
      <c r="J121" s="53"/>
    </row>
    <row r="122" spans="1:11" ht="17.399999999999999" customHeight="1" x14ac:dyDescent="0.3">
      <c r="A122" s="5">
        <v>2</v>
      </c>
      <c r="B122" s="35">
        <v>45596</v>
      </c>
      <c r="C122" s="31" t="s">
        <v>50</v>
      </c>
      <c r="D122" s="31" t="s">
        <v>64</v>
      </c>
      <c r="E122" s="31" t="s">
        <v>38</v>
      </c>
      <c r="F122" s="31" t="s">
        <v>33</v>
      </c>
      <c r="G122" s="52">
        <v>1200</v>
      </c>
      <c r="H122" s="33" t="s">
        <v>53</v>
      </c>
      <c r="J122" s="53"/>
    </row>
    <row r="123" spans="1:11" ht="17.399999999999999" customHeight="1" x14ac:dyDescent="0.3">
      <c r="A123" s="5">
        <v>2</v>
      </c>
      <c r="B123" s="35">
        <v>45626</v>
      </c>
      <c r="C123" s="31" t="s">
        <v>56</v>
      </c>
      <c r="D123" s="31" t="s">
        <v>56</v>
      </c>
      <c r="E123" s="31" t="s">
        <v>52</v>
      </c>
      <c r="F123" s="31" t="s">
        <v>11</v>
      </c>
      <c r="G123" s="30">
        <v>1178.6300000000001</v>
      </c>
      <c r="H123" s="33" t="s">
        <v>53</v>
      </c>
      <c r="J123" s="53"/>
    </row>
    <row r="124" spans="1:11" ht="17.399999999999999" customHeight="1" x14ac:dyDescent="0.3">
      <c r="A124" s="5">
        <v>2</v>
      </c>
      <c r="B124" s="35">
        <v>45626</v>
      </c>
      <c r="C124" s="31" t="s">
        <v>50</v>
      </c>
      <c r="D124" s="31" t="s">
        <v>51</v>
      </c>
      <c r="E124" s="31" t="s">
        <v>52</v>
      </c>
      <c r="F124" s="31" t="s">
        <v>11</v>
      </c>
      <c r="G124" s="41">
        <v>1549.84</v>
      </c>
      <c r="H124" s="33" t="s">
        <v>53</v>
      </c>
      <c r="J124" s="53"/>
    </row>
    <row r="125" spans="1:11" ht="17.399999999999999" customHeight="1" x14ac:dyDescent="0.3">
      <c r="A125" s="5">
        <v>2</v>
      </c>
      <c r="B125" s="35">
        <v>45626</v>
      </c>
      <c r="C125" s="31" t="s">
        <v>50</v>
      </c>
      <c r="D125" s="31" t="s">
        <v>60</v>
      </c>
      <c r="E125" s="31" t="s">
        <v>40</v>
      </c>
      <c r="F125" s="31" t="s">
        <v>33</v>
      </c>
      <c r="G125" s="30">
        <v>2817.28</v>
      </c>
      <c r="H125" s="33" t="s">
        <v>53</v>
      </c>
      <c r="J125" s="53"/>
      <c r="K125" s="9"/>
    </row>
    <row r="126" spans="1:11" ht="17.399999999999999" customHeight="1" x14ac:dyDescent="0.3">
      <c r="A126" s="5">
        <v>2</v>
      </c>
      <c r="B126" s="35">
        <v>45626</v>
      </c>
      <c r="C126" s="31" t="s">
        <v>50</v>
      </c>
      <c r="D126" s="31" t="s">
        <v>64</v>
      </c>
      <c r="E126" s="31" t="s">
        <v>38</v>
      </c>
      <c r="F126" s="31" t="s">
        <v>33</v>
      </c>
      <c r="G126" s="52">
        <v>1200</v>
      </c>
      <c r="H126" s="33" t="s">
        <v>53</v>
      </c>
      <c r="J126" s="53"/>
      <c r="K126" s="54"/>
    </row>
    <row r="127" spans="1:11" ht="17.399999999999999" customHeight="1" x14ac:dyDescent="0.3">
      <c r="A127" s="5">
        <v>2</v>
      </c>
      <c r="B127" s="35">
        <v>45647</v>
      </c>
      <c r="C127" s="31" t="s">
        <v>57</v>
      </c>
      <c r="D127" s="31" t="s">
        <v>57</v>
      </c>
      <c r="E127" s="31" t="s">
        <v>52</v>
      </c>
      <c r="F127" s="31" t="s">
        <v>11</v>
      </c>
      <c r="G127" s="30">
        <v>2000</v>
      </c>
      <c r="H127" s="33" t="s">
        <v>53</v>
      </c>
      <c r="J127" s="53"/>
      <c r="K127" s="9"/>
    </row>
    <row r="128" spans="1:11" ht="17.399999999999999" customHeight="1" x14ac:dyDescent="0.3">
      <c r="A128" s="5">
        <v>2</v>
      </c>
      <c r="B128" s="35">
        <v>45657</v>
      </c>
      <c r="C128" s="31" t="s">
        <v>50</v>
      </c>
      <c r="D128" s="31" t="s">
        <v>51</v>
      </c>
      <c r="E128" s="31" t="s">
        <v>52</v>
      </c>
      <c r="F128" s="31" t="s">
        <v>11</v>
      </c>
      <c r="G128" s="41">
        <v>626.57000000000005</v>
      </c>
      <c r="H128" s="33" t="s">
        <v>53</v>
      </c>
      <c r="J128" s="53"/>
      <c r="K128" s="54"/>
    </row>
    <row r="129" spans="1:11" ht="17.399999999999999" customHeight="1" x14ac:dyDescent="0.3">
      <c r="A129" s="5">
        <v>2</v>
      </c>
      <c r="B129" s="35">
        <v>45657</v>
      </c>
      <c r="C129" s="31" t="s">
        <v>50</v>
      </c>
      <c r="D129" s="31" t="s">
        <v>54</v>
      </c>
      <c r="E129" s="31" t="s">
        <v>52</v>
      </c>
      <c r="F129" s="31" t="s">
        <v>11</v>
      </c>
      <c r="G129" s="30">
        <v>1075</v>
      </c>
      <c r="H129" s="33" t="s">
        <v>53</v>
      </c>
      <c r="J129" s="53"/>
      <c r="K129" s="54"/>
    </row>
    <row r="130" spans="1:11" ht="17.399999999999999" customHeight="1" x14ac:dyDescent="0.3">
      <c r="A130" s="5">
        <v>2</v>
      </c>
      <c r="B130" s="35">
        <v>45657</v>
      </c>
      <c r="C130" s="31" t="s">
        <v>56</v>
      </c>
      <c r="D130" s="31" t="s">
        <v>56</v>
      </c>
      <c r="E130" s="31" t="s">
        <v>52</v>
      </c>
      <c r="F130" s="31" t="s">
        <v>11</v>
      </c>
      <c r="G130" s="30">
        <v>1500</v>
      </c>
      <c r="H130" s="33" t="s">
        <v>53</v>
      </c>
      <c r="J130" s="53"/>
      <c r="K130" s="54"/>
    </row>
    <row r="131" spans="1:11" ht="17.399999999999999" customHeight="1" x14ac:dyDescent="0.3">
      <c r="A131" s="5">
        <v>2</v>
      </c>
      <c r="B131" s="35">
        <v>45657</v>
      </c>
      <c r="C131" s="31" t="s">
        <v>50</v>
      </c>
      <c r="D131" s="31" t="s">
        <v>60</v>
      </c>
      <c r="E131" s="31" t="s">
        <v>40</v>
      </c>
      <c r="F131" s="31" t="s">
        <v>33</v>
      </c>
      <c r="G131" s="52">
        <v>5110.7</v>
      </c>
      <c r="H131" s="33" t="s">
        <v>53</v>
      </c>
      <c r="J131" s="53"/>
      <c r="K131" s="54"/>
    </row>
    <row r="132" spans="1:11" ht="17.399999999999999" customHeight="1" x14ac:dyDescent="0.3">
      <c r="A132" s="5">
        <v>2</v>
      </c>
      <c r="B132" s="35">
        <v>45657</v>
      </c>
      <c r="C132" s="31" t="s">
        <v>50</v>
      </c>
      <c r="D132" s="31" t="s">
        <v>64</v>
      </c>
      <c r="E132" s="31" t="s">
        <v>38</v>
      </c>
      <c r="F132" s="31" t="s">
        <v>33</v>
      </c>
      <c r="G132" s="52">
        <v>1200</v>
      </c>
      <c r="H132" s="33" t="s">
        <v>53</v>
      </c>
      <c r="J132" s="54"/>
      <c r="K132" s="54"/>
    </row>
    <row r="133" spans="1:11" ht="17.399999999999999" customHeight="1" x14ac:dyDescent="0.3">
      <c r="A133" s="5">
        <v>2</v>
      </c>
      <c r="B133" s="35">
        <v>45678</v>
      </c>
      <c r="C133" s="31" t="s">
        <v>50</v>
      </c>
      <c r="D133" s="31" t="s">
        <v>54</v>
      </c>
      <c r="E133" s="31" t="s">
        <v>52</v>
      </c>
      <c r="F133" s="31" t="s">
        <v>11</v>
      </c>
      <c r="G133" s="30">
        <v>800</v>
      </c>
      <c r="H133" s="33" t="s">
        <v>53</v>
      </c>
    </row>
    <row r="134" spans="1:11" ht="17.399999999999999" customHeight="1" x14ac:dyDescent="0.3">
      <c r="A134" s="5">
        <v>2</v>
      </c>
      <c r="B134" s="35">
        <v>45688</v>
      </c>
      <c r="C134" s="31" t="s">
        <v>50</v>
      </c>
      <c r="D134" s="31" t="s">
        <v>54</v>
      </c>
      <c r="E134" s="31" t="s">
        <v>52</v>
      </c>
      <c r="F134" s="31" t="s">
        <v>11</v>
      </c>
      <c r="G134" s="30">
        <v>1000</v>
      </c>
      <c r="H134" s="33" t="s">
        <v>53</v>
      </c>
      <c r="J134" s="53"/>
    </row>
    <row r="135" spans="1:11" ht="17.399999999999999" customHeight="1" x14ac:dyDescent="0.3">
      <c r="A135" s="5">
        <v>2</v>
      </c>
      <c r="B135" s="35">
        <v>45688</v>
      </c>
      <c r="C135" s="31" t="s">
        <v>50</v>
      </c>
      <c r="D135" s="31" t="s">
        <v>51</v>
      </c>
      <c r="E135" s="31" t="s">
        <v>52</v>
      </c>
      <c r="F135" s="31" t="s">
        <v>11</v>
      </c>
      <c r="G135" s="41">
        <v>1500</v>
      </c>
      <c r="H135" s="33" t="s">
        <v>53</v>
      </c>
      <c r="J135" s="53"/>
    </row>
    <row r="136" spans="1:11" ht="17.399999999999999" customHeight="1" x14ac:dyDescent="0.3">
      <c r="A136" s="5">
        <v>2</v>
      </c>
      <c r="B136" s="35">
        <v>45688</v>
      </c>
      <c r="C136" s="31" t="s">
        <v>56</v>
      </c>
      <c r="D136" s="31" t="s">
        <v>56</v>
      </c>
      <c r="E136" s="31" t="s">
        <v>52</v>
      </c>
      <c r="F136" s="31" t="s">
        <v>11</v>
      </c>
      <c r="G136" s="30">
        <v>3129.77</v>
      </c>
      <c r="H136" s="33" t="s">
        <v>53</v>
      </c>
      <c r="J136" s="53"/>
    </row>
    <row r="137" spans="1:11" ht="17.399999999999999" customHeight="1" x14ac:dyDescent="0.3">
      <c r="A137" s="5">
        <v>2</v>
      </c>
      <c r="B137" s="50">
        <v>45688</v>
      </c>
      <c r="C137" s="31" t="s">
        <v>50</v>
      </c>
      <c r="D137" s="31" t="s">
        <v>60</v>
      </c>
      <c r="E137" s="31" t="s">
        <v>40</v>
      </c>
      <c r="F137" s="31" t="s">
        <v>33</v>
      </c>
      <c r="G137" s="30">
        <v>3897.39</v>
      </c>
      <c r="H137" s="33" t="s">
        <v>53</v>
      </c>
      <c r="J137" s="53"/>
    </row>
    <row r="138" spans="1:11" ht="17.399999999999999" customHeight="1" x14ac:dyDescent="0.3">
      <c r="A138" s="5">
        <v>2</v>
      </c>
      <c r="B138" s="50">
        <v>45688</v>
      </c>
      <c r="C138" s="31" t="s">
        <v>50</v>
      </c>
      <c r="D138" s="31" t="s">
        <v>64</v>
      </c>
      <c r="E138" s="31" t="s">
        <v>38</v>
      </c>
      <c r="F138" s="31" t="s">
        <v>33</v>
      </c>
      <c r="G138" s="52">
        <v>1200</v>
      </c>
      <c r="H138" s="33" t="s">
        <v>53</v>
      </c>
      <c r="J138" s="53"/>
    </row>
    <row r="139" spans="1:11" ht="17.399999999999999" customHeight="1" x14ac:dyDescent="0.3">
      <c r="A139" s="5">
        <v>2</v>
      </c>
      <c r="B139" s="35">
        <v>45716</v>
      </c>
      <c r="C139" s="31" t="s">
        <v>56</v>
      </c>
      <c r="D139" s="31" t="s">
        <v>56</v>
      </c>
      <c r="E139" s="31" t="s">
        <v>52</v>
      </c>
      <c r="F139" s="31" t="s">
        <v>11</v>
      </c>
      <c r="G139" s="30">
        <v>1200</v>
      </c>
      <c r="H139" s="33" t="s">
        <v>53</v>
      </c>
      <c r="J139" s="53"/>
    </row>
    <row r="140" spans="1:11" ht="17.399999999999999" customHeight="1" x14ac:dyDescent="0.3">
      <c r="A140" s="5">
        <v>2</v>
      </c>
      <c r="B140" s="35">
        <v>45716</v>
      </c>
      <c r="C140" s="31" t="s">
        <v>50</v>
      </c>
      <c r="D140" s="31" t="s">
        <v>51</v>
      </c>
      <c r="E140" s="31" t="s">
        <v>52</v>
      </c>
      <c r="F140" s="31" t="s">
        <v>11</v>
      </c>
      <c r="G140" s="41">
        <v>1950</v>
      </c>
      <c r="H140" s="33" t="s">
        <v>53</v>
      </c>
      <c r="J140" s="53"/>
    </row>
    <row r="141" spans="1:11" ht="17.399999999999999" customHeight="1" x14ac:dyDescent="0.3">
      <c r="A141" s="5">
        <v>2</v>
      </c>
      <c r="B141" s="50">
        <v>45716</v>
      </c>
      <c r="C141" s="31" t="s">
        <v>50</v>
      </c>
      <c r="D141" s="31" t="s">
        <v>60</v>
      </c>
      <c r="E141" s="31" t="s">
        <v>40</v>
      </c>
      <c r="F141" s="31" t="s">
        <v>33</v>
      </c>
      <c r="G141" s="30">
        <v>3200</v>
      </c>
      <c r="H141" s="33" t="s">
        <v>53</v>
      </c>
      <c r="J141" s="53"/>
    </row>
    <row r="142" spans="1:11" ht="17.399999999999999" customHeight="1" x14ac:dyDescent="0.3">
      <c r="A142" s="5">
        <v>2</v>
      </c>
      <c r="B142" s="50">
        <v>45716</v>
      </c>
      <c r="C142" s="31" t="s">
        <v>50</v>
      </c>
      <c r="D142" s="31" t="s">
        <v>64</v>
      </c>
      <c r="E142" s="31" t="s">
        <v>38</v>
      </c>
      <c r="F142" s="31" t="s">
        <v>33</v>
      </c>
      <c r="G142" s="52">
        <v>1200</v>
      </c>
      <c r="H142" s="33" t="s">
        <v>53</v>
      </c>
      <c r="J142" s="53"/>
    </row>
    <row r="143" spans="1:11" ht="17.399999999999999" customHeight="1" x14ac:dyDescent="0.3">
      <c r="A143" s="5">
        <v>2</v>
      </c>
      <c r="B143" s="35">
        <v>45747</v>
      </c>
      <c r="C143" s="31" t="s">
        <v>57</v>
      </c>
      <c r="D143" s="31" t="s">
        <v>57</v>
      </c>
      <c r="E143" s="31" t="s">
        <v>52</v>
      </c>
      <c r="F143" s="31" t="s">
        <v>11</v>
      </c>
      <c r="G143" s="30">
        <v>500</v>
      </c>
      <c r="H143" s="33" t="s">
        <v>53</v>
      </c>
      <c r="J143" s="53"/>
    </row>
    <row r="144" spans="1:11" ht="17.399999999999999" customHeight="1" x14ac:dyDescent="0.3">
      <c r="A144" s="5">
        <v>2</v>
      </c>
      <c r="B144" s="35">
        <v>45747</v>
      </c>
      <c r="C144" s="31" t="s">
        <v>50</v>
      </c>
      <c r="D144" s="31" t="s">
        <v>54</v>
      </c>
      <c r="E144" s="31" t="s">
        <v>52</v>
      </c>
      <c r="F144" s="31" t="s">
        <v>11</v>
      </c>
      <c r="G144" s="30">
        <v>625</v>
      </c>
      <c r="H144" s="33" t="s">
        <v>53</v>
      </c>
    </row>
    <row r="145" spans="1:8" ht="17.399999999999999" customHeight="1" x14ac:dyDescent="0.3">
      <c r="A145" s="5">
        <v>2</v>
      </c>
      <c r="B145" s="35">
        <v>45747</v>
      </c>
      <c r="C145" s="31" t="s">
        <v>56</v>
      </c>
      <c r="D145" s="31" t="s">
        <v>56</v>
      </c>
      <c r="E145" s="31" t="s">
        <v>52</v>
      </c>
      <c r="F145" s="31" t="s">
        <v>11</v>
      </c>
      <c r="G145" s="30">
        <v>991.6</v>
      </c>
      <c r="H145" s="33" t="s">
        <v>53</v>
      </c>
    </row>
    <row r="146" spans="1:8" ht="17.399999999999999" customHeight="1" x14ac:dyDescent="0.3">
      <c r="A146" s="5">
        <v>2</v>
      </c>
      <c r="B146" s="35">
        <v>45747</v>
      </c>
      <c r="C146" s="31" t="s">
        <v>50</v>
      </c>
      <c r="D146" s="31" t="s">
        <v>51</v>
      </c>
      <c r="E146" s="31" t="s">
        <v>52</v>
      </c>
      <c r="F146" s="31" t="s">
        <v>11</v>
      </c>
      <c r="G146" s="41">
        <v>2625</v>
      </c>
      <c r="H146" s="33" t="s">
        <v>53</v>
      </c>
    </row>
    <row r="147" spans="1:8" ht="17.399999999999999" customHeight="1" x14ac:dyDescent="0.3">
      <c r="A147" s="5">
        <v>2</v>
      </c>
      <c r="B147" s="50">
        <v>45747</v>
      </c>
      <c r="C147" s="31" t="s">
        <v>50</v>
      </c>
      <c r="D147" s="31" t="s">
        <v>60</v>
      </c>
      <c r="E147" s="31" t="s">
        <v>40</v>
      </c>
      <c r="F147" s="31" t="s">
        <v>33</v>
      </c>
      <c r="G147" s="30">
        <f>5422.3+(4741.6-4241.6)</f>
        <v>5922.3</v>
      </c>
      <c r="H147" s="33" t="s">
        <v>53</v>
      </c>
    </row>
    <row r="148" spans="1:8" ht="17.399999999999999" customHeight="1" x14ac:dyDescent="0.3">
      <c r="A148" s="5">
        <v>2</v>
      </c>
      <c r="B148" s="35">
        <v>45751</v>
      </c>
      <c r="C148" s="31" t="s">
        <v>57</v>
      </c>
      <c r="D148" s="31" t="s">
        <v>57</v>
      </c>
      <c r="E148" s="31" t="s">
        <v>52</v>
      </c>
      <c r="F148" s="31" t="s">
        <v>11</v>
      </c>
      <c r="G148" s="30">
        <v>500</v>
      </c>
      <c r="H148" s="33" t="s">
        <v>53</v>
      </c>
    </row>
    <row r="149" spans="1:8" ht="17.399999999999999" customHeight="1" x14ac:dyDescent="0.3">
      <c r="A149" s="5">
        <v>2</v>
      </c>
      <c r="B149" s="35">
        <v>45763</v>
      </c>
      <c r="C149" s="31" t="s">
        <v>57</v>
      </c>
      <c r="D149" s="31" t="s">
        <v>57</v>
      </c>
      <c r="E149" s="31" t="s">
        <v>52</v>
      </c>
      <c r="F149" s="31" t="s">
        <v>11</v>
      </c>
      <c r="G149" s="30">
        <v>750</v>
      </c>
      <c r="H149" s="33" t="s">
        <v>53</v>
      </c>
    </row>
    <row r="150" spans="1:8" ht="17.399999999999999" customHeight="1" x14ac:dyDescent="0.3">
      <c r="A150" s="5">
        <v>2</v>
      </c>
      <c r="B150" s="35">
        <v>45776</v>
      </c>
      <c r="C150" s="31" t="s">
        <v>57</v>
      </c>
      <c r="D150" s="31" t="s">
        <v>57</v>
      </c>
      <c r="E150" s="31" t="s">
        <v>52</v>
      </c>
      <c r="F150" s="31" t="s">
        <v>11</v>
      </c>
      <c r="G150" s="30">
        <v>300</v>
      </c>
      <c r="H150" s="33" t="s">
        <v>53</v>
      </c>
    </row>
    <row r="151" spans="1:8" ht="17.399999999999999" customHeight="1" x14ac:dyDescent="0.3">
      <c r="A151" s="5">
        <v>2</v>
      </c>
      <c r="B151" s="35">
        <v>45776</v>
      </c>
      <c r="C151" s="31" t="s">
        <v>57</v>
      </c>
      <c r="D151" s="31" t="s">
        <v>57</v>
      </c>
      <c r="E151" s="31" t="s">
        <v>52</v>
      </c>
      <c r="F151" s="31" t="s">
        <v>11</v>
      </c>
      <c r="G151" s="30">
        <v>300</v>
      </c>
      <c r="H151" s="33" t="s">
        <v>53</v>
      </c>
    </row>
    <row r="152" spans="1:8" ht="17.399999999999999" customHeight="1" x14ac:dyDescent="0.3">
      <c r="A152" s="5">
        <v>2</v>
      </c>
      <c r="B152" s="35">
        <v>45777</v>
      </c>
      <c r="C152" s="31" t="s">
        <v>50</v>
      </c>
      <c r="D152" s="31" t="s">
        <v>54</v>
      </c>
      <c r="E152" s="31" t="s">
        <v>52</v>
      </c>
      <c r="F152" s="31" t="s">
        <v>11</v>
      </c>
      <c r="G152" s="30">
        <v>1150</v>
      </c>
      <c r="H152" s="33" t="s">
        <v>53</v>
      </c>
    </row>
    <row r="153" spans="1:8" ht="17.399999999999999" customHeight="1" x14ac:dyDescent="0.3">
      <c r="A153" s="5">
        <v>2</v>
      </c>
      <c r="B153" s="35">
        <v>45777</v>
      </c>
      <c r="C153" s="31" t="s">
        <v>56</v>
      </c>
      <c r="D153" s="31" t="s">
        <v>56</v>
      </c>
      <c r="E153" s="31" t="s">
        <v>52</v>
      </c>
      <c r="F153" s="31" t="s">
        <v>11</v>
      </c>
      <c r="G153" s="30">
        <v>2500</v>
      </c>
      <c r="H153" s="33" t="s">
        <v>53</v>
      </c>
    </row>
    <row r="154" spans="1:8" ht="17.399999999999999" customHeight="1" x14ac:dyDescent="0.3">
      <c r="A154" s="5">
        <v>2</v>
      </c>
      <c r="B154" s="35">
        <v>45777</v>
      </c>
      <c r="C154" s="31" t="s">
        <v>50</v>
      </c>
      <c r="D154" s="31" t="s">
        <v>51</v>
      </c>
      <c r="E154" s="31" t="s">
        <v>52</v>
      </c>
      <c r="F154" s="31" t="s">
        <v>11</v>
      </c>
      <c r="G154" s="41">
        <v>4200</v>
      </c>
      <c r="H154" s="33" t="s">
        <v>53</v>
      </c>
    </row>
    <row r="155" spans="1:8" ht="17.399999999999999" customHeight="1" x14ac:dyDescent="0.3">
      <c r="A155" s="5">
        <v>2</v>
      </c>
      <c r="B155" s="50">
        <v>45777</v>
      </c>
      <c r="C155" s="31" t="s">
        <v>50</v>
      </c>
      <c r="D155" s="31" t="s">
        <v>60</v>
      </c>
      <c r="E155" s="31" t="s">
        <v>40</v>
      </c>
      <c r="F155" s="31" t="s">
        <v>33</v>
      </c>
      <c r="G155" s="30">
        <f>5322+1700</f>
        <v>7022</v>
      </c>
      <c r="H155" s="33" t="s">
        <v>53</v>
      </c>
    </row>
    <row r="156" spans="1:8" ht="17.399999999999999" customHeight="1" x14ac:dyDescent="0.3">
      <c r="A156" s="5">
        <v>2</v>
      </c>
      <c r="B156" s="50">
        <v>45777</v>
      </c>
      <c r="C156" s="31" t="s">
        <v>50</v>
      </c>
      <c r="D156" s="31" t="s">
        <v>64</v>
      </c>
      <c r="E156" s="31" t="s">
        <v>38</v>
      </c>
      <c r="F156" s="31" t="s">
        <v>33</v>
      </c>
      <c r="G156" s="52">
        <v>1980</v>
      </c>
      <c r="H156" s="33" t="s">
        <v>53</v>
      </c>
    </row>
    <row r="157" spans="1:8" ht="17.399999999999999" customHeight="1" x14ac:dyDescent="0.3">
      <c r="A157" s="5">
        <v>2</v>
      </c>
      <c r="B157" s="35">
        <v>45784</v>
      </c>
      <c r="C157" s="31" t="s">
        <v>50</v>
      </c>
      <c r="D157" s="31" t="s">
        <v>54</v>
      </c>
      <c r="E157" s="31" t="s">
        <v>52</v>
      </c>
      <c r="F157" s="31" t="s">
        <v>11</v>
      </c>
      <c r="G157" s="30">
        <v>600</v>
      </c>
      <c r="H157" s="33" t="s">
        <v>53</v>
      </c>
    </row>
    <row r="158" spans="1:8" ht="17.399999999999999" customHeight="1" x14ac:dyDescent="0.3">
      <c r="A158" s="5">
        <v>2</v>
      </c>
      <c r="B158" s="35">
        <v>45784</v>
      </c>
      <c r="C158" s="31" t="s">
        <v>50</v>
      </c>
      <c r="D158" s="31" t="s">
        <v>51</v>
      </c>
      <c r="E158" s="31" t="s">
        <v>52</v>
      </c>
      <c r="F158" s="31" t="s">
        <v>11</v>
      </c>
      <c r="G158" s="30">
        <v>1400</v>
      </c>
      <c r="H158" s="33" t="s">
        <v>53</v>
      </c>
    </row>
    <row r="159" spans="1:8" ht="17.399999999999999" customHeight="1" x14ac:dyDescent="0.3">
      <c r="A159" s="5">
        <v>2</v>
      </c>
      <c r="B159" s="35">
        <v>45791</v>
      </c>
      <c r="C159" s="31" t="s">
        <v>50</v>
      </c>
      <c r="D159" s="31" t="s">
        <v>51</v>
      </c>
      <c r="E159" s="31" t="s">
        <v>52</v>
      </c>
      <c r="F159" s="31" t="s">
        <v>11</v>
      </c>
      <c r="G159" s="30">
        <v>210</v>
      </c>
      <c r="H159" s="33" t="s">
        <v>53</v>
      </c>
    </row>
    <row r="160" spans="1:8" ht="17.399999999999999" customHeight="1" x14ac:dyDescent="0.3">
      <c r="A160" s="5">
        <v>2</v>
      </c>
      <c r="B160" s="35">
        <v>45803</v>
      </c>
      <c r="C160" s="31" t="s">
        <v>50</v>
      </c>
      <c r="D160" s="31" t="s">
        <v>51</v>
      </c>
      <c r="E160" s="31" t="s">
        <v>52</v>
      </c>
      <c r="F160" s="31" t="s">
        <v>11</v>
      </c>
      <c r="G160" s="30">
        <v>1290</v>
      </c>
      <c r="H160" s="33" t="s">
        <v>53</v>
      </c>
    </row>
    <row r="161" spans="1:8" ht="17.399999999999999" customHeight="1" x14ac:dyDescent="0.3">
      <c r="A161" s="5">
        <v>2</v>
      </c>
      <c r="B161" s="35">
        <v>45808</v>
      </c>
      <c r="C161" s="31" t="s">
        <v>56</v>
      </c>
      <c r="D161" s="31" t="s">
        <v>56</v>
      </c>
      <c r="E161" s="31" t="s">
        <v>52</v>
      </c>
      <c r="F161" s="31" t="s">
        <v>11</v>
      </c>
      <c r="G161" s="30">
        <v>1200</v>
      </c>
      <c r="H161" s="33" t="s">
        <v>53</v>
      </c>
    </row>
    <row r="162" spans="1:8" ht="17.399999999999999" customHeight="1" x14ac:dyDescent="0.3">
      <c r="A162" s="5">
        <v>2</v>
      </c>
      <c r="B162" s="50">
        <v>45808</v>
      </c>
      <c r="C162" s="31" t="s">
        <v>50</v>
      </c>
      <c r="D162" s="31" t="s">
        <v>60</v>
      </c>
      <c r="E162" s="31" t="s">
        <v>40</v>
      </c>
      <c r="F162" s="31" t="s">
        <v>33</v>
      </c>
      <c r="G162" s="30">
        <v>6456.3</v>
      </c>
      <c r="H162" s="33" t="s">
        <v>53</v>
      </c>
    </row>
    <row r="163" spans="1:8" ht="17.399999999999999" customHeight="1" x14ac:dyDescent="0.3">
      <c r="A163" s="5">
        <v>2</v>
      </c>
      <c r="B163" s="35">
        <v>45810</v>
      </c>
      <c r="C163" s="31" t="s">
        <v>50</v>
      </c>
      <c r="D163" s="31" t="s">
        <v>51</v>
      </c>
      <c r="E163" s="31" t="s">
        <v>52</v>
      </c>
      <c r="F163" s="31" t="s">
        <v>11</v>
      </c>
      <c r="G163" s="30">
        <v>2000</v>
      </c>
      <c r="H163" s="33" t="s">
        <v>53</v>
      </c>
    </row>
    <row r="164" spans="1:8" ht="17.399999999999999" customHeight="1" x14ac:dyDescent="0.3">
      <c r="A164" s="5">
        <v>2</v>
      </c>
      <c r="B164" s="35">
        <v>45821</v>
      </c>
      <c r="C164" s="31" t="s">
        <v>50</v>
      </c>
      <c r="D164" s="31" t="s">
        <v>51</v>
      </c>
      <c r="E164" s="31" t="s">
        <v>52</v>
      </c>
      <c r="F164" s="31" t="s">
        <v>11</v>
      </c>
      <c r="G164" s="30">
        <v>800</v>
      </c>
      <c r="H164" s="33" t="s">
        <v>53</v>
      </c>
    </row>
    <row r="165" spans="1:8" ht="17.399999999999999" customHeight="1" x14ac:dyDescent="0.3">
      <c r="A165" s="5">
        <v>2</v>
      </c>
      <c r="B165" s="35">
        <v>45830</v>
      </c>
      <c r="C165" s="31" t="s">
        <v>50</v>
      </c>
      <c r="D165" s="31" t="s">
        <v>55</v>
      </c>
      <c r="E165" s="31" t="s">
        <v>52</v>
      </c>
      <c r="F165" s="31" t="s">
        <v>11</v>
      </c>
      <c r="G165" s="30">
        <v>1000</v>
      </c>
      <c r="H165" s="33" t="s">
        <v>53</v>
      </c>
    </row>
    <row r="166" spans="1:8" ht="17.399999999999999" customHeight="1" x14ac:dyDescent="0.3">
      <c r="A166" s="5">
        <v>2</v>
      </c>
      <c r="B166" s="35">
        <v>45838</v>
      </c>
      <c r="C166" s="31" t="s">
        <v>50</v>
      </c>
      <c r="D166" s="31" t="s">
        <v>54</v>
      </c>
      <c r="E166" s="31" t="s">
        <v>52</v>
      </c>
      <c r="F166" s="31" t="s">
        <v>11</v>
      </c>
      <c r="G166" s="30">
        <v>500</v>
      </c>
      <c r="H166" s="33" t="s">
        <v>53</v>
      </c>
    </row>
    <row r="167" spans="1:8" ht="17.399999999999999" customHeight="1" x14ac:dyDescent="0.3">
      <c r="A167" s="5">
        <v>2</v>
      </c>
      <c r="B167" s="35">
        <v>45838</v>
      </c>
      <c r="C167" s="31" t="s">
        <v>50</v>
      </c>
      <c r="D167" s="31" t="s">
        <v>51</v>
      </c>
      <c r="E167" s="31" t="s">
        <v>52</v>
      </c>
      <c r="F167" s="31" t="s">
        <v>11</v>
      </c>
      <c r="G167" s="30">
        <v>1500</v>
      </c>
      <c r="H167" s="33" t="s">
        <v>53</v>
      </c>
    </row>
    <row r="168" spans="1:8" ht="17.399999999999999" customHeight="1" x14ac:dyDescent="0.3">
      <c r="A168" s="5">
        <v>2</v>
      </c>
      <c r="B168" s="35">
        <v>45838</v>
      </c>
      <c r="C168" s="31" t="s">
        <v>56</v>
      </c>
      <c r="D168" s="31" t="s">
        <v>56</v>
      </c>
      <c r="E168" s="31" t="s">
        <v>52</v>
      </c>
      <c r="F168" s="31" t="s">
        <v>11</v>
      </c>
      <c r="G168" s="30">
        <v>3300</v>
      </c>
      <c r="H168" s="33" t="s">
        <v>53</v>
      </c>
    </row>
    <row r="169" spans="1:8" ht="17.399999999999999" customHeight="1" x14ac:dyDescent="0.3">
      <c r="A169" s="5">
        <v>2</v>
      </c>
      <c r="B169" s="50">
        <v>45838</v>
      </c>
      <c r="C169" s="31" t="s">
        <v>50</v>
      </c>
      <c r="D169" s="31" t="s">
        <v>60</v>
      </c>
      <c r="E169" s="31" t="s">
        <v>40</v>
      </c>
      <c r="F169" s="31" t="s">
        <v>33</v>
      </c>
      <c r="G169" s="30">
        <v>6952.22</v>
      </c>
      <c r="H169" s="33" t="s">
        <v>53</v>
      </c>
    </row>
    <row r="170" spans="1:8" ht="17.399999999999999" customHeight="1" x14ac:dyDescent="0.3">
      <c r="A170" s="5">
        <v>2</v>
      </c>
      <c r="B170" s="35">
        <v>45852</v>
      </c>
      <c r="C170" s="31" t="s">
        <v>57</v>
      </c>
      <c r="D170" s="31" t="s">
        <v>57</v>
      </c>
      <c r="E170" s="31" t="s">
        <v>52</v>
      </c>
      <c r="F170" s="31" t="s">
        <v>11</v>
      </c>
      <c r="G170" s="30">
        <v>1000</v>
      </c>
      <c r="H170" s="33" t="s">
        <v>53</v>
      </c>
    </row>
    <row r="171" spans="1:8" ht="17.399999999999999" customHeight="1" x14ac:dyDescent="0.3">
      <c r="A171" s="5">
        <v>2</v>
      </c>
      <c r="B171" s="35">
        <v>45858</v>
      </c>
      <c r="C171" s="31" t="s">
        <v>50</v>
      </c>
      <c r="D171" s="31" t="s">
        <v>51</v>
      </c>
      <c r="E171" s="31" t="s">
        <v>52</v>
      </c>
      <c r="F171" s="31" t="s">
        <v>11</v>
      </c>
      <c r="G171" s="30">
        <v>1750.86</v>
      </c>
      <c r="H171" s="33" t="s">
        <v>53</v>
      </c>
    </row>
    <row r="172" spans="1:8" ht="17.399999999999999" customHeight="1" x14ac:dyDescent="0.3">
      <c r="A172" s="5">
        <v>2</v>
      </c>
      <c r="B172" s="35">
        <v>45869</v>
      </c>
      <c r="C172" s="31" t="s">
        <v>56</v>
      </c>
      <c r="D172" s="31" t="s">
        <v>56</v>
      </c>
      <c r="E172" s="31" t="s">
        <v>52</v>
      </c>
      <c r="F172" s="31" t="s">
        <v>11</v>
      </c>
      <c r="G172" s="30">
        <v>998.93</v>
      </c>
      <c r="H172" s="33" t="s">
        <v>53</v>
      </c>
    </row>
    <row r="173" spans="1:8" ht="17.399999999999999" customHeight="1" x14ac:dyDescent="0.3">
      <c r="A173" s="5">
        <v>2</v>
      </c>
      <c r="B173" s="50">
        <v>45869</v>
      </c>
      <c r="C173" s="31" t="s">
        <v>50</v>
      </c>
      <c r="D173" s="31" t="s">
        <v>69</v>
      </c>
      <c r="E173" s="31" t="s">
        <v>40</v>
      </c>
      <c r="F173" s="31" t="s">
        <v>11</v>
      </c>
      <c r="G173" s="52">
        <v>3771.9</v>
      </c>
      <c r="H173" s="33" t="s">
        <v>53</v>
      </c>
    </row>
    <row r="174" spans="1:8" ht="17.399999999999999" customHeight="1" x14ac:dyDescent="0.3">
      <c r="A174" s="5">
        <v>2</v>
      </c>
      <c r="B174" s="50">
        <v>45869</v>
      </c>
      <c r="C174" s="31" t="s">
        <v>50</v>
      </c>
      <c r="D174" s="31" t="s">
        <v>60</v>
      </c>
      <c r="E174" s="31" t="s">
        <v>40</v>
      </c>
      <c r="F174" s="31" t="s">
        <v>33</v>
      </c>
      <c r="G174" s="30">
        <v>6500</v>
      </c>
      <c r="H174" s="33" t="s">
        <v>53</v>
      </c>
    </row>
    <row r="175" spans="1:8" ht="17.399999999999999" customHeight="1" x14ac:dyDescent="0.3">
      <c r="A175" s="5">
        <v>2</v>
      </c>
      <c r="B175" s="35">
        <v>45873</v>
      </c>
      <c r="C175" s="31" t="s">
        <v>50</v>
      </c>
      <c r="D175" s="31" t="s">
        <v>51</v>
      </c>
      <c r="E175" s="31" t="s">
        <v>52</v>
      </c>
      <c r="F175" s="31" t="s">
        <v>11</v>
      </c>
      <c r="G175" s="30">
        <v>1400</v>
      </c>
      <c r="H175" s="33" t="s">
        <v>53</v>
      </c>
    </row>
    <row r="176" spans="1:8" ht="17.399999999999999" customHeight="1" x14ac:dyDescent="0.3">
      <c r="A176" s="5">
        <v>2</v>
      </c>
      <c r="B176" s="35">
        <v>45875</v>
      </c>
      <c r="C176" s="31" t="s">
        <v>50</v>
      </c>
      <c r="D176" s="31" t="s">
        <v>51</v>
      </c>
      <c r="E176" s="31" t="s">
        <v>52</v>
      </c>
      <c r="F176" s="31" t="s">
        <v>11</v>
      </c>
      <c r="G176" s="30">
        <v>1000</v>
      </c>
      <c r="H176" s="33" t="s">
        <v>53</v>
      </c>
    </row>
    <row r="177" spans="1:8" ht="17.399999999999999" customHeight="1" x14ac:dyDescent="0.3">
      <c r="A177" s="5">
        <v>2</v>
      </c>
      <c r="B177" s="50">
        <v>45882</v>
      </c>
      <c r="C177" s="31" t="s">
        <v>50</v>
      </c>
      <c r="D177" s="31" t="s">
        <v>60</v>
      </c>
      <c r="E177" s="31" t="s">
        <v>40</v>
      </c>
      <c r="F177" s="31" t="s">
        <v>33</v>
      </c>
      <c r="G177" s="52">
        <v>4000</v>
      </c>
      <c r="H177" s="33" t="s">
        <v>53</v>
      </c>
    </row>
    <row r="178" spans="1:8" ht="17.399999999999999" customHeight="1" x14ac:dyDescent="0.3">
      <c r="A178" s="5">
        <v>2</v>
      </c>
      <c r="B178" s="35">
        <v>45900</v>
      </c>
      <c r="C178" s="31" t="s">
        <v>56</v>
      </c>
      <c r="D178" s="31" t="s">
        <v>56</v>
      </c>
      <c r="E178" s="31" t="s">
        <v>52</v>
      </c>
      <c r="F178" s="31" t="s">
        <v>11</v>
      </c>
      <c r="G178" s="30">
        <v>1000</v>
      </c>
      <c r="H178" s="33" t="s">
        <v>53</v>
      </c>
    </row>
    <row r="179" spans="1:8" ht="17.399999999999999" hidden="1" customHeight="1" x14ac:dyDescent="0.3">
      <c r="A179" s="5">
        <v>2</v>
      </c>
      <c r="B179" s="6">
        <v>45930</v>
      </c>
      <c r="C179" s="7" t="s">
        <v>19</v>
      </c>
      <c r="D179" s="8" t="s">
        <v>39</v>
      </c>
      <c r="E179" s="7" t="s">
        <v>40</v>
      </c>
      <c r="F179" s="7" t="s">
        <v>11</v>
      </c>
      <c r="G179" s="63">
        <v>100</v>
      </c>
      <c r="H179" s="8" t="s">
        <v>12</v>
      </c>
    </row>
    <row r="180" spans="1:8" ht="17.399999999999999" hidden="1" customHeight="1" x14ac:dyDescent="0.3">
      <c r="A180" s="5">
        <v>2</v>
      </c>
      <c r="B180" s="6">
        <v>45900</v>
      </c>
      <c r="C180" s="7" t="s">
        <v>19</v>
      </c>
      <c r="D180" s="8" t="s">
        <v>26</v>
      </c>
      <c r="E180" s="7" t="s">
        <v>27</v>
      </c>
      <c r="F180" s="7" t="s">
        <v>11</v>
      </c>
      <c r="G180" s="64">
        <v>97.22</v>
      </c>
      <c r="H180" s="8" t="s">
        <v>12</v>
      </c>
    </row>
    <row r="181" spans="1:8" ht="17.399999999999999" hidden="1" customHeight="1" x14ac:dyDescent="0.3">
      <c r="A181" s="5">
        <v>2</v>
      </c>
      <c r="B181" s="6">
        <v>45900</v>
      </c>
      <c r="C181" s="7" t="s">
        <v>19</v>
      </c>
      <c r="D181" s="8" t="s">
        <v>28</v>
      </c>
      <c r="E181" s="7" t="s">
        <v>29</v>
      </c>
      <c r="F181" s="7" t="s">
        <v>11</v>
      </c>
      <c r="G181" s="64">
        <v>277</v>
      </c>
      <c r="H181" s="8" t="s">
        <v>12</v>
      </c>
    </row>
    <row r="182" spans="1:8" ht="17.399999999999999" hidden="1" customHeight="1" x14ac:dyDescent="0.3">
      <c r="A182" s="5">
        <v>2</v>
      </c>
      <c r="B182" s="6">
        <v>45900</v>
      </c>
      <c r="C182" s="7" t="s">
        <v>19</v>
      </c>
      <c r="D182" s="8" t="s">
        <v>30</v>
      </c>
      <c r="E182" s="7" t="s">
        <v>31</v>
      </c>
      <c r="F182" s="7" t="s">
        <v>11</v>
      </c>
      <c r="G182" s="64">
        <v>20</v>
      </c>
      <c r="H182" s="8" t="s">
        <v>12</v>
      </c>
    </row>
    <row r="183" spans="1:8" ht="17.399999999999999" hidden="1" customHeight="1" x14ac:dyDescent="0.3">
      <c r="A183" s="5">
        <v>2</v>
      </c>
      <c r="B183" s="6">
        <v>45900</v>
      </c>
      <c r="C183" s="7" t="s">
        <v>19</v>
      </c>
      <c r="D183" s="8" t="s">
        <v>35</v>
      </c>
      <c r="E183" s="7" t="s">
        <v>36</v>
      </c>
      <c r="F183" s="7" t="s">
        <v>11</v>
      </c>
      <c r="G183" s="64">
        <v>3.5</v>
      </c>
      <c r="H183" s="8" t="s">
        <v>12</v>
      </c>
    </row>
    <row r="184" spans="1:8" ht="17.399999999999999" hidden="1" customHeight="1" x14ac:dyDescent="0.3">
      <c r="A184" s="5">
        <v>2</v>
      </c>
      <c r="B184" s="6">
        <v>45900</v>
      </c>
      <c r="C184" s="7" t="s">
        <v>19</v>
      </c>
      <c r="D184" s="8" t="s">
        <v>39</v>
      </c>
      <c r="E184" s="7" t="s">
        <v>40</v>
      </c>
      <c r="F184" s="7" t="s">
        <v>11</v>
      </c>
      <c r="G184" s="64">
        <v>94</v>
      </c>
      <c r="H184" s="8" t="s">
        <v>12</v>
      </c>
    </row>
    <row r="185" spans="1:8" ht="17.399999999999999" hidden="1" customHeight="1" x14ac:dyDescent="0.3">
      <c r="A185" s="5">
        <v>2</v>
      </c>
      <c r="B185" s="6">
        <v>45900</v>
      </c>
      <c r="C185" s="7" t="s">
        <v>19</v>
      </c>
      <c r="D185" s="8" t="s">
        <v>41</v>
      </c>
      <c r="E185" s="7" t="s">
        <v>42</v>
      </c>
      <c r="F185" s="7" t="s">
        <v>11</v>
      </c>
      <c r="G185" s="64">
        <v>6.9</v>
      </c>
      <c r="H185" s="8" t="s">
        <v>12</v>
      </c>
    </row>
    <row r="186" spans="1:8" ht="17.399999999999999" hidden="1" customHeight="1" x14ac:dyDescent="0.3">
      <c r="A186" s="5">
        <v>2</v>
      </c>
      <c r="B186" s="14">
        <v>45900</v>
      </c>
      <c r="C186" s="15" t="s">
        <v>19</v>
      </c>
      <c r="D186" s="15" t="s">
        <v>37</v>
      </c>
      <c r="E186" s="15" t="s">
        <v>38</v>
      </c>
      <c r="F186" s="15" t="s">
        <v>33</v>
      </c>
      <c r="G186" s="66">
        <v>0</v>
      </c>
      <c r="H186" s="15" t="s">
        <v>12</v>
      </c>
    </row>
    <row r="187" spans="1:8" ht="17.399999999999999" hidden="1" customHeight="1" x14ac:dyDescent="0.3">
      <c r="A187" s="5">
        <v>2</v>
      </c>
      <c r="B187" s="6">
        <v>45900</v>
      </c>
      <c r="C187" s="7" t="s">
        <v>19</v>
      </c>
      <c r="D187" s="8" t="s">
        <v>44</v>
      </c>
      <c r="E187" s="7" t="s">
        <v>45</v>
      </c>
      <c r="F187" s="7" t="s">
        <v>11</v>
      </c>
      <c r="G187" s="64">
        <v>23.61</v>
      </c>
      <c r="H187" s="8" t="s">
        <v>12</v>
      </c>
    </row>
    <row r="188" spans="1:8" ht="17.399999999999999" hidden="1" customHeight="1" x14ac:dyDescent="0.3">
      <c r="A188" s="5">
        <v>2</v>
      </c>
      <c r="B188" s="6">
        <v>45900</v>
      </c>
      <c r="C188" s="7" t="s">
        <v>19</v>
      </c>
      <c r="D188" s="8" t="s">
        <v>47</v>
      </c>
      <c r="E188" s="7" t="s">
        <v>48</v>
      </c>
      <c r="F188" s="7" t="s">
        <v>11</v>
      </c>
      <c r="G188" s="64">
        <v>449.19</v>
      </c>
      <c r="H188" s="8" t="s">
        <v>12</v>
      </c>
    </row>
    <row r="189" spans="1:8" ht="17.399999999999999" hidden="1" customHeight="1" x14ac:dyDescent="0.3">
      <c r="A189" s="5">
        <v>2</v>
      </c>
      <c r="B189" s="6">
        <v>45900</v>
      </c>
      <c r="C189" s="7" t="s">
        <v>8</v>
      </c>
      <c r="D189" s="8" t="s">
        <v>34</v>
      </c>
      <c r="E189" s="7" t="s">
        <v>10</v>
      </c>
      <c r="F189" s="7" t="s">
        <v>33</v>
      </c>
      <c r="G189" s="63">
        <v>313</v>
      </c>
      <c r="H189" s="8" t="s">
        <v>12</v>
      </c>
    </row>
    <row r="190" spans="1:8" ht="17.399999999999999" hidden="1" customHeight="1" x14ac:dyDescent="0.3">
      <c r="A190" s="5">
        <v>2</v>
      </c>
      <c r="B190" s="6">
        <v>45875</v>
      </c>
      <c r="C190" s="7" t="s">
        <v>8</v>
      </c>
      <c r="D190" s="8" t="s">
        <v>25</v>
      </c>
      <c r="E190" s="7" t="s">
        <v>10</v>
      </c>
      <c r="F190" s="7" t="s">
        <v>11</v>
      </c>
      <c r="G190" s="63">
        <v>338.05</v>
      </c>
      <c r="H190" s="8" t="s">
        <v>12</v>
      </c>
    </row>
    <row r="191" spans="1:8" ht="17.399999999999999" hidden="1" customHeight="1" x14ac:dyDescent="0.3">
      <c r="A191" s="5">
        <v>2</v>
      </c>
      <c r="B191" s="6">
        <v>45869</v>
      </c>
      <c r="C191" s="7" t="s">
        <v>19</v>
      </c>
      <c r="D191" s="8" t="s">
        <v>20</v>
      </c>
      <c r="E191" s="7" t="s">
        <v>21</v>
      </c>
      <c r="F191" s="7" t="s">
        <v>11</v>
      </c>
      <c r="G191" s="64">
        <v>7.67</v>
      </c>
      <c r="H191" s="8" t="s">
        <v>12</v>
      </c>
    </row>
    <row r="192" spans="1:8" ht="17.399999999999999" hidden="1" customHeight="1" x14ac:dyDescent="0.3">
      <c r="A192" s="5">
        <v>2</v>
      </c>
      <c r="B192" s="6">
        <v>45869</v>
      </c>
      <c r="C192" s="7" t="s">
        <v>19</v>
      </c>
      <c r="D192" s="8" t="s">
        <v>22</v>
      </c>
      <c r="E192" s="7" t="s">
        <v>23</v>
      </c>
      <c r="F192" s="7" t="s">
        <v>11</v>
      </c>
      <c r="G192" s="64">
        <v>73.97999999999999</v>
      </c>
      <c r="H192" s="8" t="s">
        <v>12</v>
      </c>
    </row>
    <row r="193" spans="1:8" ht="17.399999999999999" hidden="1" customHeight="1" x14ac:dyDescent="0.3">
      <c r="A193" s="5">
        <v>2</v>
      </c>
      <c r="B193" s="6">
        <v>45869</v>
      </c>
      <c r="C193" s="7" t="s">
        <v>19</v>
      </c>
      <c r="D193" s="8" t="s">
        <v>26</v>
      </c>
      <c r="E193" s="7" t="s">
        <v>27</v>
      </c>
      <c r="F193" s="7" t="s">
        <v>11</v>
      </c>
      <c r="G193" s="64">
        <v>142.59</v>
      </c>
      <c r="H193" s="8" t="s">
        <v>12</v>
      </c>
    </row>
    <row r="194" spans="1:8" ht="17.399999999999999" hidden="1" customHeight="1" x14ac:dyDescent="0.3">
      <c r="A194" s="5">
        <v>2</v>
      </c>
      <c r="B194" s="6">
        <v>45869</v>
      </c>
      <c r="C194" s="7" t="s">
        <v>19</v>
      </c>
      <c r="D194" s="8" t="s">
        <v>28</v>
      </c>
      <c r="E194" s="7" t="s">
        <v>29</v>
      </c>
      <c r="F194" s="7" t="s">
        <v>11</v>
      </c>
      <c r="G194" s="64">
        <v>311.03999999999996</v>
      </c>
      <c r="H194" s="8" t="s">
        <v>12</v>
      </c>
    </row>
    <row r="195" spans="1:8" ht="17.399999999999999" hidden="1" customHeight="1" x14ac:dyDescent="0.3">
      <c r="A195" s="5">
        <v>2</v>
      </c>
      <c r="B195" s="6">
        <v>45869</v>
      </c>
      <c r="C195" s="7" t="s">
        <v>19</v>
      </c>
      <c r="D195" s="8" t="s">
        <v>30</v>
      </c>
      <c r="E195" s="7" t="s">
        <v>31</v>
      </c>
      <c r="F195" s="7" t="s">
        <v>11</v>
      </c>
      <c r="G195" s="64">
        <v>60</v>
      </c>
      <c r="H195" s="8" t="s">
        <v>12</v>
      </c>
    </row>
    <row r="196" spans="1:8" ht="17.399999999999999" hidden="1" customHeight="1" x14ac:dyDescent="0.3">
      <c r="A196" s="5">
        <v>2</v>
      </c>
      <c r="B196" s="6">
        <v>45869</v>
      </c>
      <c r="C196" s="7" t="s">
        <v>19</v>
      </c>
      <c r="D196" s="8" t="s">
        <v>35</v>
      </c>
      <c r="E196" s="7" t="s">
        <v>36</v>
      </c>
      <c r="F196" s="7" t="s">
        <v>11</v>
      </c>
      <c r="G196" s="64">
        <v>159.24</v>
      </c>
      <c r="H196" s="8" t="s">
        <v>12</v>
      </c>
    </row>
    <row r="197" spans="1:8" ht="17.399999999999999" hidden="1" customHeight="1" x14ac:dyDescent="0.3">
      <c r="A197" s="5">
        <v>2</v>
      </c>
      <c r="B197" s="6">
        <v>45869</v>
      </c>
      <c r="C197" s="7" t="s">
        <v>19</v>
      </c>
      <c r="D197" s="8" t="s">
        <v>39</v>
      </c>
      <c r="E197" s="7" t="s">
        <v>40</v>
      </c>
      <c r="F197" s="7" t="s">
        <v>11</v>
      </c>
      <c r="G197" s="64">
        <v>101.15999999999998</v>
      </c>
      <c r="H197" s="8" t="s">
        <v>12</v>
      </c>
    </row>
    <row r="198" spans="1:8" ht="17.399999999999999" hidden="1" customHeight="1" x14ac:dyDescent="0.3">
      <c r="A198" s="5">
        <v>2</v>
      </c>
      <c r="B198" s="6">
        <v>45869</v>
      </c>
      <c r="C198" s="7" t="s">
        <v>19</v>
      </c>
      <c r="D198" s="8" t="s">
        <v>37</v>
      </c>
      <c r="E198" s="7" t="s">
        <v>38</v>
      </c>
      <c r="F198" s="7" t="s">
        <v>33</v>
      </c>
      <c r="G198" s="65">
        <v>1115.19</v>
      </c>
      <c r="H198" s="8" t="s">
        <v>12</v>
      </c>
    </row>
    <row r="199" spans="1:8" ht="17.399999999999999" hidden="1" customHeight="1" x14ac:dyDescent="0.3">
      <c r="A199" s="5">
        <v>2</v>
      </c>
      <c r="B199" s="6">
        <v>45869</v>
      </c>
      <c r="C199" s="7" t="s">
        <v>19</v>
      </c>
      <c r="D199" s="8" t="s">
        <v>44</v>
      </c>
      <c r="E199" s="7" t="s">
        <v>45</v>
      </c>
      <c r="F199" s="7" t="s">
        <v>11</v>
      </c>
      <c r="G199" s="64">
        <v>28.8</v>
      </c>
      <c r="H199" s="8" t="s">
        <v>12</v>
      </c>
    </row>
    <row r="200" spans="1:8" ht="17.399999999999999" hidden="1" customHeight="1" x14ac:dyDescent="0.3">
      <c r="A200" s="5">
        <v>2</v>
      </c>
      <c r="B200" s="6">
        <v>45869</v>
      </c>
      <c r="C200" s="7" t="s">
        <v>19</v>
      </c>
      <c r="D200" s="8" t="s">
        <v>47</v>
      </c>
      <c r="E200" s="7" t="s">
        <v>48</v>
      </c>
      <c r="F200" s="7" t="s">
        <v>11</v>
      </c>
      <c r="G200" s="64">
        <v>501.34000000000003</v>
      </c>
      <c r="H200" s="8" t="s">
        <v>12</v>
      </c>
    </row>
    <row r="201" spans="1:8" ht="17.399999999999999" hidden="1" customHeight="1" x14ac:dyDescent="0.3">
      <c r="A201" s="5">
        <v>2</v>
      </c>
      <c r="B201" s="6">
        <v>45869</v>
      </c>
      <c r="C201" s="7" t="s">
        <v>8</v>
      </c>
      <c r="D201" s="8" t="s">
        <v>34</v>
      </c>
      <c r="E201" s="7" t="s">
        <v>10</v>
      </c>
      <c r="F201" s="7" t="s">
        <v>33</v>
      </c>
      <c r="G201" s="63">
        <v>248.09</v>
      </c>
      <c r="H201" s="8" t="s">
        <v>12</v>
      </c>
    </row>
    <row r="202" spans="1:8" ht="17.399999999999999" hidden="1" customHeight="1" x14ac:dyDescent="0.3">
      <c r="A202" s="5">
        <v>2</v>
      </c>
      <c r="B202" s="6">
        <v>45838</v>
      </c>
      <c r="C202" s="7" t="s">
        <v>19</v>
      </c>
      <c r="D202" s="8" t="s">
        <v>20</v>
      </c>
      <c r="E202" s="7" t="s">
        <v>21</v>
      </c>
      <c r="F202" s="7" t="s">
        <v>11</v>
      </c>
      <c r="G202" s="64">
        <v>29.5</v>
      </c>
      <c r="H202" s="8" t="s">
        <v>12</v>
      </c>
    </row>
    <row r="203" spans="1:8" ht="17.399999999999999" hidden="1" customHeight="1" x14ac:dyDescent="0.3">
      <c r="A203" s="5">
        <v>2</v>
      </c>
      <c r="B203" s="6">
        <v>45838</v>
      </c>
      <c r="C203" s="7" t="s">
        <v>19</v>
      </c>
      <c r="D203" s="8" t="s">
        <v>22</v>
      </c>
      <c r="E203" s="7" t="s">
        <v>23</v>
      </c>
      <c r="F203" s="7" t="s">
        <v>11</v>
      </c>
      <c r="G203" s="64">
        <v>200.35</v>
      </c>
      <c r="H203" s="8" t="s">
        <v>12</v>
      </c>
    </row>
    <row r="204" spans="1:8" ht="17.399999999999999" hidden="1" customHeight="1" x14ac:dyDescent="0.3">
      <c r="A204" s="5">
        <v>2</v>
      </c>
      <c r="B204" s="6">
        <v>45838</v>
      </c>
      <c r="C204" s="7" t="s">
        <v>19</v>
      </c>
      <c r="D204" s="8" t="s">
        <v>26</v>
      </c>
      <c r="E204" s="7" t="s">
        <v>27</v>
      </c>
      <c r="F204" s="7" t="s">
        <v>11</v>
      </c>
      <c r="G204" s="64">
        <v>92.249999999999986</v>
      </c>
      <c r="H204" s="8" t="s">
        <v>12</v>
      </c>
    </row>
    <row r="205" spans="1:8" ht="17.399999999999999" hidden="1" customHeight="1" x14ac:dyDescent="0.3">
      <c r="A205" s="5">
        <v>2</v>
      </c>
      <c r="B205" s="6">
        <v>45838</v>
      </c>
      <c r="C205" s="7" t="s">
        <v>19</v>
      </c>
      <c r="D205" s="8" t="s">
        <v>28</v>
      </c>
      <c r="E205" s="7" t="s">
        <v>29</v>
      </c>
      <c r="F205" s="7" t="s">
        <v>11</v>
      </c>
      <c r="G205" s="64">
        <v>274</v>
      </c>
      <c r="H205" s="8" t="s">
        <v>12</v>
      </c>
    </row>
    <row r="206" spans="1:8" ht="17.399999999999999" hidden="1" customHeight="1" x14ac:dyDescent="0.3">
      <c r="A206" s="5">
        <v>2</v>
      </c>
      <c r="B206" s="6">
        <v>45838</v>
      </c>
      <c r="C206" s="7" t="s">
        <v>19</v>
      </c>
      <c r="D206" s="8" t="s">
        <v>35</v>
      </c>
      <c r="E206" s="7" t="s">
        <v>36</v>
      </c>
      <c r="F206" s="7" t="s">
        <v>11</v>
      </c>
      <c r="G206" s="64">
        <v>139.11000000000001</v>
      </c>
      <c r="H206" s="8" t="s">
        <v>12</v>
      </c>
    </row>
    <row r="207" spans="1:8" ht="17.399999999999999" hidden="1" customHeight="1" x14ac:dyDescent="0.3">
      <c r="A207" s="5">
        <v>2</v>
      </c>
      <c r="B207" s="6">
        <v>45838</v>
      </c>
      <c r="C207" s="7" t="s">
        <v>19</v>
      </c>
      <c r="D207" s="8" t="s">
        <v>39</v>
      </c>
      <c r="E207" s="7" t="s">
        <v>40</v>
      </c>
      <c r="F207" s="7" t="s">
        <v>11</v>
      </c>
      <c r="G207" s="64">
        <v>84.68</v>
      </c>
      <c r="H207" s="8" t="s">
        <v>12</v>
      </c>
    </row>
    <row r="208" spans="1:8" ht="17.399999999999999" hidden="1" customHeight="1" x14ac:dyDescent="0.3">
      <c r="A208" s="5">
        <v>2</v>
      </c>
      <c r="B208" s="6">
        <v>45838</v>
      </c>
      <c r="C208" s="7" t="s">
        <v>19</v>
      </c>
      <c r="D208" s="8" t="s">
        <v>37</v>
      </c>
      <c r="E208" s="7" t="s">
        <v>38</v>
      </c>
      <c r="F208" s="7" t="s">
        <v>33</v>
      </c>
      <c r="G208" s="65">
        <v>1115.19</v>
      </c>
      <c r="H208" s="8" t="s">
        <v>12</v>
      </c>
    </row>
    <row r="209" spans="1:8" ht="17.399999999999999" hidden="1" customHeight="1" x14ac:dyDescent="0.3">
      <c r="A209" s="5">
        <v>2</v>
      </c>
      <c r="B209" s="6">
        <v>45838</v>
      </c>
      <c r="C209" s="7" t="s">
        <v>19</v>
      </c>
      <c r="D209" s="8" t="s">
        <v>44</v>
      </c>
      <c r="E209" s="7" t="s">
        <v>45</v>
      </c>
      <c r="F209" s="7" t="s">
        <v>11</v>
      </c>
      <c r="G209" s="64">
        <v>29.22</v>
      </c>
      <c r="H209" s="8" t="s">
        <v>12</v>
      </c>
    </row>
    <row r="210" spans="1:8" ht="17.399999999999999" hidden="1" customHeight="1" x14ac:dyDescent="0.3">
      <c r="A210" s="5">
        <v>2</v>
      </c>
      <c r="B210" s="6">
        <v>45838</v>
      </c>
      <c r="C210" s="7" t="s">
        <v>19</v>
      </c>
      <c r="D210" s="8" t="s">
        <v>47</v>
      </c>
      <c r="E210" s="7" t="s">
        <v>48</v>
      </c>
      <c r="F210" s="7" t="s">
        <v>11</v>
      </c>
      <c r="G210" s="64">
        <v>348.8</v>
      </c>
      <c r="H210" s="8" t="s">
        <v>12</v>
      </c>
    </row>
    <row r="211" spans="1:8" ht="17.399999999999999" hidden="1" customHeight="1" x14ac:dyDescent="0.3">
      <c r="A211" s="5">
        <v>2</v>
      </c>
      <c r="B211" s="6">
        <v>45808</v>
      </c>
      <c r="C211" s="7" t="s">
        <v>19</v>
      </c>
      <c r="D211" s="8" t="s">
        <v>22</v>
      </c>
      <c r="E211" s="7" t="s">
        <v>23</v>
      </c>
      <c r="F211" s="7" t="s">
        <v>11</v>
      </c>
      <c r="G211" s="64">
        <v>63.94</v>
      </c>
      <c r="H211" s="8" t="s">
        <v>12</v>
      </c>
    </row>
    <row r="212" spans="1:8" ht="17.399999999999999" hidden="1" customHeight="1" x14ac:dyDescent="0.3">
      <c r="A212" s="5">
        <v>2</v>
      </c>
      <c r="B212" s="6">
        <v>45808</v>
      </c>
      <c r="C212" s="7" t="s">
        <v>19</v>
      </c>
      <c r="D212" s="8" t="s">
        <v>26</v>
      </c>
      <c r="E212" s="7" t="s">
        <v>27</v>
      </c>
      <c r="F212" s="7" t="s">
        <v>11</v>
      </c>
      <c r="G212" s="64">
        <v>169.24999999999997</v>
      </c>
      <c r="H212" s="8" t="s">
        <v>12</v>
      </c>
    </row>
    <row r="213" spans="1:8" ht="17.399999999999999" hidden="1" customHeight="1" x14ac:dyDescent="0.3">
      <c r="A213" s="5">
        <v>2</v>
      </c>
      <c r="B213" s="6">
        <v>45808</v>
      </c>
      <c r="C213" s="7" t="s">
        <v>19</v>
      </c>
      <c r="D213" s="8" t="s">
        <v>28</v>
      </c>
      <c r="E213" s="7" t="s">
        <v>29</v>
      </c>
      <c r="F213" s="7" t="s">
        <v>11</v>
      </c>
      <c r="G213" s="64">
        <v>284.67</v>
      </c>
      <c r="H213" s="8" t="s">
        <v>12</v>
      </c>
    </row>
    <row r="214" spans="1:8" ht="17.399999999999999" hidden="1" customHeight="1" x14ac:dyDescent="0.3">
      <c r="A214" s="5">
        <v>2</v>
      </c>
      <c r="B214" s="6">
        <v>45808</v>
      </c>
      <c r="C214" s="7" t="s">
        <v>19</v>
      </c>
      <c r="D214" s="8" t="s">
        <v>30</v>
      </c>
      <c r="E214" s="7" t="s">
        <v>31</v>
      </c>
      <c r="F214" s="7" t="s">
        <v>11</v>
      </c>
      <c r="G214" s="64">
        <v>70</v>
      </c>
      <c r="H214" s="8" t="s">
        <v>12</v>
      </c>
    </row>
    <row r="215" spans="1:8" ht="17.399999999999999" hidden="1" customHeight="1" x14ac:dyDescent="0.3">
      <c r="A215" s="5">
        <v>2</v>
      </c>
      <c r="B215" s="6">
        <v>45808</v>
      </c>
      <c r="C215" s="7" t="s">
        <v>19</v>
      </c>
      <c r="D215" s="8" t="s">
        <v>35</v>
      </c>
      <c r="E215" s="7" t="s">
        <v>36</v>
      </c>
      <c r="F215" s="7" t="s">
        <v>11</v>
      </c>
      <c r="G215" s="64">
        <v>181.86</v>
      </c>
      <c r="H215" s="8" t="s">
        <v>12</v>
      </c>
    </row>
    <row r="216" spans="1:8" ht="17.399999999999999" hidden="1" customHeight="1" x14ac:dyDescent="0.3">
      <c r="A216" s="5">
        <v>2</v>
      </c>
      <c r="B216" s="6">
        <v>45808</v>
      </c>
      <c r="C216" s="7" t="s">
        <v>19</v>
      </c>
      <c r="D216" s="8" t="s">
        <v>39</v>
      </c>
      <c r="E216" s="7" t="s">
        <v>40</v>
      </c>
      <c r="F216" s="7" t="s">
        <v>11</v>
      </c>
      <c r="G216" s="64">
        <v>134.01</v>
      </c>
      <c r="H216" s="8" t="s">
        <v>12</v>
      </c>
    </row>
    <row r="217" spans="1:8" ht="17.399999999999999" hidden="1" customHeight="1" x14ac:dyDescent="0.3">
      <c r="A217" s="5">
        <v>2</v>
      </c>
      <c r="B217" s="6">
        <v>45808</v>
      </c>
      <c r="C217" s="7" t="s">
        <v>19</v>
      </c>
      <c r="D217" s="8" t="s">
        <v>44</v>
      </c>
      <c r="E217" s="7" t="s">
        <v>45</v>
      </c>
      <c r="F217" s="7" t="s">
        <v>11</v>
      </c>
      <c r="G217" s="64">
        <v>38.57</v>
      </c>
      <c r="H217" s="8" t="s">
        <v>12</v>
      </c>
    </row>
    <row r="218" spans="1:8" ht="17.399999999999999" hidden="1" customHeight="1" x14ac:dyDescent="0.3">
      <c r="A218" s="5">
        <v>2</v>
      </c>
      <c r="B218" s="6">
        <v>45808</v>
      </c>
      <c r="C218" s="7" t="s">
        <v>19</v>
      </c>
      <c r="D218" s="8" t="s">
        <v>47</v>
      </c>
      <c r="E218" s="7" t="s">
        <v>48</v>
      </c>
      <c r="F218" s="7" t="s">
        <v>11</v>
      </c>
      <c r="G218" s="64">
        <v>341.1</v>
      </c>
      <c r="H218" s="8" t="s">
        <v>12</v>
      </c>
    </row>
    <row r="219" spans="1:8" ht="17.399999999999999" hidden="1" customHeight="1" x14ac:dyDescent="0.3">
      <c r="A219" s="5">
        <v>2</v>
      </c>
      <c r="B219" s="6">
        <v>45808</v>
      </c>
      <c r="C219" s="7" t="s">
        <v>8</v>
      </c>
      <c r="D219" s="8" t="s">
        <v>34</v>
      </c>
      <c r="E219" s="7" t="s">
        <v>10</v>
      </c>
      <c r="F219" s="7" t="s">
        <v>33</v>
      </c>
      <c r="G219" s="63">
        <v>102.54</v>
      </c>
      <c r="H219" s="8" t="s">
        <v>12</v>
      </c>
    </row>
    <row r="220" spans="1:8" ht="17.399999999999999" hidden="1" customHeight="1" x14ac:dyDescent="0.3">
      <c r="A220" s="5">
        <v>2</v>
      </c>
      <c r="B220" s="6">
        <v>45807</v>
      </c>
      <c r="C220" s="7" t="s">
        <v>19</v>
      </c>
      <c r="D220" s="8" t="s">
        <v>37</v>
      </c>
      <c r="E220" s="7" t="s">
        <v>38</v>
      </c>
      <c r="F220" s="7" t="s">
        <v>33</v>
      </c>
      <c r="G220" s="65">
        <v>1115.19</v>
      </c>
      <c r="H220" s="8" t="s">
        <v>12</v>
      </c>
    </row>
    <row r="221" spans="1:8" ht="17.399999999999999" hidden="1" customHeight="1" x14ac:dyDescent="0.3">
      <c r="A221" s="5">
        <v>2</v>
      </c>
      <c r="B221" s="6">
        <v>45777</v>
      </c>
      <c r="C221" s="7" t="s">
        <v>19</v>
      </c>
      <c r="D221" s="8" t="s">
        <v>20</v>
      </c>
      <c r="E221" s="7" t="s">
        <v>21</v>
      </c>
      <c r="F221" s="7" t="s">
        <v>11</v>
      </c>
      <c r="G221" s="64">
        <v>7.29</v>
      </c>
      <c r="H221" s="8" t="s">
        <v>12</v>
      </c>
    </row>
    <row r="222" spans="1:8" ht="17.399999999999999" hidden="1" customHeight="1" x14ac:dyDescent="0.3">
      <c r="A222" s="5">
        <v>2</v>
      </c>
      <c r="B222" s="6">
        <v>45777</v>
      </c>
      <c r="C222" s="7" t="s">
        <v>19</v>
      </c>
      <c r="D222" s="8" t="s">
        <v>22</v>
      </c>
      <c r="E222" s="7" t="s">
        <v>23</v>
      </c>
      <c r="F222" s="7" t="s">
        <v>11</v>
      </c>
      <c r="G222" s="64">
        <v>215.47</v>
      </c>
      <c r="H222" s="8" t="s">
        <v>12</v>
      </c>
    </row>
    <row r="223" spans="1:8" ht="17.399999999999999" hidden="1" customHeight="1" x14ac:dyDescent="0.3">
      <c r="A223" s="5">
        <v>2</v>
      </c>
      <c r="B223" s="6">
        <v>45777</v>
      </c>
      <c r="C223" s="7" t="s">
        <v>19</v>
      </c>
      <c r="D223" s="8" t="s">
        <v>26</v>
      </c>
      <c r="E223" s="7" t="s">
        <v>27</v>
      </c>
      <c r="F223" s="7" t="s">
        <v>11</v>
      </c>
      <c r="G223" s="64">
        <v>165.04</v>
      </c>
      <c r="H223" s="8" t="s">
        <v>12</v>
      </c>
    </row>
    <row r="224" spans="1:8" ht="17.399999999999999" hidden="1" customHeight="1" x14ac:dyDescent="0.3">
      <c r="A224" s="5">
        <v>2</v>
      </c>
      <c r="B224" s="6">
        <v>45777</v>
      </c>
      <c r="C224" s="7" t="s">
        <v>19</v>
      </c>
      <c r="D224" s="8" t="s">
        <v>28</v>
      </c>
      <c r="E224" s="7" t="s">
        <v>29</v>
      </c>
      <c r="F224" s="7" t="s">
        <v>11</v>
      </c>
      <c r="G224" s="64">
        <v>284</v>
      </c>
      <c r="H224" s="8" t="s">
        <v>12</v>
      </c>
    </row>
    <row r="225" spans="1:8" ht="17.399999999999999" hidden="1" customHeight="1" x14ac:dyDescent="0.3">
      <c r="A225" s="5">
        <v>2</v>
      </c>
      <c r="B225" s="6">
        <v>45777</v>
      </c>
      <c r="C225" s="7" t="s">
        <v>19</v>
      </c>
      <c r="D225" s="8" t="s">
        <v>30</v>
      </c>
      <c r="E225" s="7" t="s">
        <v>31</v>
      </c>
      <c r="F225" s="7" t="s">
        <v>11</v>
      </c>
      <c r="G225" s="64">
        <v>60</v>
      </c>
      <c r="H225" s="8" t="s">
        <v>12</v>
      </c>
    </row>
    <row r="226" spans="1:8" ht="17.399999999999999" hidden="1" customHeight="1" x14ac:dyDescent="0.3">
      <c r="A226" s="5">
        <v>2</v>
      </c>
      <c r="B226" s="6">
        <v>45777</v>
      </c>
      <c r="C226" s="7" t="s">
        <v>19</v>
      </c>
      <c r="D226" s="8" t="s">
        <v>35</v>
      </c>
      <c r="E226" s="7" t="s">
        <v>36</v>
      </c>
      <c r="F226" s="7" t="s">
        <v>11</v>
      </c>
      <c r="G226" s="64">
        <v>142.61000000000001</v>
      </c>
      <c r="H226" s="8" t="s">
        <v>12</v>
      </c>
    </row>
    <row r="227" spans="1:8" ht="17.399999999999999" hidden="1" customHeight="1" x14ac:dyDescent="0.3">
      <c r="A227" s="5">
        <v>2</v>
      </c>
      <c r="B227" s="6">
        <v>45777</v>
      </c>
      <c r="C227" s="7" t="s">
        <v>19</v>
      </c>
      <c r="D227" s="8" t="s">
        <v>39</v>
      </c>
      <c r="E227" s="7" t="s">
        <v>40</v>
      </c>
      <c r="F227" s="7" t="s">
        <v>11</v>
      </c>
      <c r="G227" s="64">
        <v>110.52999999999999</v>
      </c>
      <c r="H227" s="8" t="s">
        <v>12</v>
      </c>
    </row>
    <row r="228" spans="1:8" ht="17.399999999999999" hidden="1" customHeight="1" x14ac:dyDescent="0.3">
      <c r="A228" s="5">
        <v>2</v>
      </c>
      <c r="B228" s="6">
        <v>45777</v>
      </c>
      <c r="C228" s="7" t="s">
        <v>19</v>
      </c>
      <c r="D228" s="8" t="s">
        <v>37</v>
      </c>
      <c r="E228" s="7" t="s">
        <v>38</v>
      </c>
      <c r="F228" s="7" t="s">
        <v>33</v>
      </c>
      <c r="G228" s="65">
        <v>1115.19</v>
      </c>
      <c r="H228" s="8" t="s">
        <v>12</v>
      </c>
    </row>
    <row r="229" spans="1:8" ht="17.399999999999999" hidden="1" customHeight="1" x14ac:dyDescent="0.3">
      <c r="A229" s="5">
        <v>2</v>
      </c>
      <c r="B229" s="6">
        <v>45777</v>
      </c>
      <c r="C229" s="7" t="s">
        <v>19</v>
      </c>
      <c r="D229" s="8" t="s">
        <v>44</v>
      </c>
      <c r="E229" s="7" t="s">
        <v>45</v>
      </c>
      <c r="F229" s="7" t="s">
        <v>11</v>
      </c>
      <c r="G229" s="64">
        <v>54.209999999999994</v>
      </c>
      <c r="H229" s="8" t="s">
        <v>12</v>
      </c>
    </row>
    <row r="230" spans="1:8" ht="17.399999999999999" hidden="1" customHeight="1" x14ac:dyDescent="0.3">
      <c r="A230" s="5">
        <v>2</v>
      </c>
      <c r="B230" s="6">
        <v>45777</v>
      </c>
      <c r="C230" s="7" t="s">
        <v>19</v>
      </c>
      <c r="D230" s="8" t="s">
        <v>47</v>
      </c>
      <c r="E230" s="7" t="s">
        <v>48</v>
      </c>
      <c r="F230" s="7" t="s">
        <v>11</v>
      </c>
      <c r="G230" s="64">
        <v>201.54000000000002</v>
      </c>
      <c r="H230" s="8" t="s">
        <v>12</v>
      </c>
    </row>
    <row r="231" spans="1:8" ht="17.399999999999999" hidden="1" customHeight="1" x14ac:dyDescent="0.3">
      <c r="A231" s="5">
        <v>2</v>
      </c>
      <c r="B231" s="6">
        <v>45747</v>
      </c>
      <c r="C231" s="7" t="s">
        <v>19</v>
      </c>
      <c r="D231" s="8" t="s">
        <v>20</v>
      </c>
      <c r="E231" s="7" t="s">
        <v>21</v>
      </c>
      <c r="F231" s="7" t="s">
        <v>11</v>
      </c>
      <c r="G231" s="64">
        <v>7.8</v>
      </c>
      <c r="H231" s="8" t="s">
        <v>12</v>
      </c>
    </row>
    <row r="232" spans="1:8" ht="17.399999999999999" hidden="1" customHeight="1" x14ac:dyDescent="0.3">
      <c r="A232" s="5">
        <v>2</v>
      </c>
      <c r="B232" s="6">
        <v>45747</v>
      </c>
      <c r="C232" s="7" t="s">
        <v>19</v>
      </c>
      <c r="D232" s="8" t="s">
        <v>22</v>
      </c>
      <c r="E232" s="7" t="s">
        <v>23</v>
      </c>
      <c r="F232" s="7" t="s">
        <v>11</v>
      </c>
      <c r="G232" s="64">
        <v>109.78</v>
      </c>
      <c r="H232" s="8" t="s">
        <v>12</v>
      </c>
    </row>
    <row r="233" spans="1:8" ht="17.399999999999999" hidden="1" customHeight="1" x14ac:dyDescent="0.3">
      <c r="A233" s="5">
        <v>2</v>
      </c>
      <c r="B233" s="6">
        <v>45747</v>
      </c>
      <c r="C233" s="7" t="s">
        <v>19</v>
      </c>
      <c r="D233" s="8" t="s">
        <v>26</v>
      </c>
      <c r="E233" s="7" t="s">
        <v>27</v>
      </c>
      <c r="F233" s="7" t="s">
        <v>11</v>
      </c>
      <c r="G233" s="64">
        <v>146.88999999999999</v>
      </c>
      <c r="H233" s="8" t="s">
        <v>12</v>
      </c>
    </row>
    <row r="234" spans="1:8" ht="17.399999999999999" hidden="1" customHeight="1" x14ac:dyDescent="0.3">
      <c r="A234" s="5">
        <v>2</v>
      </c>
      <c r="B234" s="6">
        <v>45747</v>
      </c>
      <c r="C234" s="7" t="s">
        <v>19</v>
      </c>
      <c r="D234" s="8" t="s">
        <v>28</v>
      </c>
      <c r="E234" s="7" t="s">
        <v>29</v>
      </c>
      <c r="F234" s="7" t="s">
        <v>11</v>
      </c>
      <c r="G234" s="64">
        <v>283</v>
      </c>
      <c r="H234" s="8" t="s">
        <v>12</v>
      </c>
    </row>
    <row r="235" spans="1:8" ht="17.399999999999999" hidden="1" customHeight="1" x14ac:dyDescent="0.3">
      <c r="A235" s="5">
        <v>2</v>
      </c>
      <c r="B235" s="6">
        <v>45747</v>
      </c>
      <c r="C235" s="7" t="s">
        <v>19</v>
      </c>
      <c r="D235" s="8" t="s">
        <v>35</v>
      </c>
      <c r="E235" s="7" t="s">
        <v>36</v>
      </c>
      <c r="F235" s="7" t="s">
        <v>11</v>
      </c>
      <c r="G235" s="64">
        <v>305.67</v>
      </c>
      <c r="H235" s="8" t="s">
        <v>12</v>
      </c>
    </row>
    <row r="236" spans="1:8" ht="17.399999999999999" hidden="1" customHeight="1" x14ac:dyDescent="0.3">
      <c r="A236" s="5">
        <v>2</v>
      </c>
      <c r="B236" s="6">
        <v>45747</v>
      </c>
      <c r="C236" s="7" t="s">
        <v>19</v>
      </c>
      <c r="D236" s="8" t="s">
        <v>39</v>
      </c>
      <c r="E236" s="7" t="s">
        <v>40</v>
      </c>
      <c r="F236" s="7" t="s">
        <v>11</v>
      </c>
      <c r="G236" s="64">
        <v>-54.55</v>
      </c>
      <c r="H236" s="8" t="s">
        <v>12</v>
      </c>
    </row>
    <row r="237" spans="1:8" ht="17.399999999999999" hidden="1" customHeight="1" x14ac:dyDescent="0.3">
      <c r="A237" s="5">
        <v>2</v>
      </c>
      <c r="B237" s="6">
        <v>45747</v>
      </c>
      <c r="C237" s="7" t="s">
        <v>19</v>
      </c>
      <c r="D237" s="8" t="s">
        <v>37</v>
      </c>
      <c r="E237" s="7" t="s">
        <v>38</v>
      </c>
      <c r="F237" s="7" t="s">
        <v>33</v>
      </c>
      <c r="G237" s="65">
        <v>1025.23</v>
      </c>
      <c r="H237" s="8" t="s">
        <v>12</v>
      </c>
    </row>
    <row r="238" spans="1:8" ht="17.399999999999999" hidden="1" customHeight="1" x14ac:dyDescent="0.3">
      <c r="A238" s="5">
        <v>2</v>
      </c>
      <c r="B238" s="6">
        <v>45747</v>
      </c>
      <c r="C238" s="7" t="s">
        <v>19</v>
      </c>
      <c r="D238" s="8" t="s">
        <v>47</v>
      </c>
      <c r="E238" s="7" t="s">
        <v>48</v>
      </c>
      <c r="F238" s="7" t="s">
        <v>11</v>
      </c>
      <c r="G238" s="64">
        <v>381.3</v>
      </c>
      <c r="H238" s="8" t="s">
        <v>12</v>
      </c>
    </row>
    <row r="239" spans="1:8" ht="17.399999999999999" hidden="1" customHeight="1" x14ac:dyDescent="0.3">
      <c r="A239" s="5">
        <v>2</v>
      </c>
      <c r="B239" s="6">
        <v>45716</v>
      </c>
      <c r="C239" s="7" t="s">
        <v>19</v>
      </c>
      <c r="D239" s="8" t="s">
        <v>20</v>
      </c>
      <c r="E239" s="7" t="s">
        <v>21</v>
      </c>
      <c r="F239" s="7" t="s">
        <v>11</v>
      </c>
      <c r="G239" s="64">
        <v>10.4</v>
      </c>
      <c r="H239" s="8" t="s">
        <v>12</v>
      </c>
    </row>
    <row r="240" spans="1:8" ht="17.399999999999999" hidden="1" customHeight="1" x14ac:dyDescent="0.3">
      <c r="A240" s="5">
        <v>2</v>
      </c>
      <c r="B240" s="6">
        <v>45716</v>
      </c>
      <c r="C240" s="7" t="s">
        <v>19</v>
      </c>
      <c r="D240" s="8" t="s">
        <v>22</v>
      </c>
      <c r="E240" s="7" t="s">
        <v>23</v>
      </c>
      <c r="F240" s="7" t="s">
        <v>11</v>
      </c>
      <c r="G240" s="64">
        <v>23.009999999999998</v>
      </c>
      <c r="H240" s="8" t="s">
        <v>12</v>
      </c>
    </row>
    <row r="241" spans="1:8" ht="17.399999999999999" hidden="1" customHeight="1" x14ac:dyDescent="0.3">
      <c r="A241" s="5">
        <v>2</v>
      </c>
      <c r="B241" s="6">
        <v>45716</v>
      </c>
      <c r="C241" s="7" t="s">
        <v>19</v>
      </c>
      <c r="D241" s="8" t="s">
        <v>26</v>
      </c>
      <c r="E241" s="7" t="s">
        <v>27</v>
      </c>
      <c r="F241" s="7" t="s">
        <v>11</v>
      </c>
      <c r="G241" s="64">
        <v>140.82</v>
      </c>
      <c r="H241" s="8" t="s">
        <v>12</v>
      </c>
    </row>
    <row r="242" spans="1:8" ht="17.399999999999999" hidden="1" customHeight="1" x14ac:dyDescent="0.3">
      <c r="A242" s="5">
        <v>2</v>
      </c>
      <c r="B242" s="6">
        <v>45716</v>
      </c>
      <c r="C242" s="7" t="s">
        <v>19</v>
      </c>
      <c r="D242" s="8" t="s">
        <v>28</v>
      </c>
      <c r="E242" s="7" t="s">
        <v>29</v>
      </c>
      <c r="F242" s="7" t="s">
        <v>11</v>
      </c>
      <c r="G242" s="64">
        <v>294</v>
      </c>
      <c r="H242" s="8" t="s">
        <v>12</v>
      </c>
    </row>
    <row r="243" spans="1:8" ht="17.399999999999999" hidden="1" customHeight="1" x14ac:dyDescent="0.3">
      <c r="A243" s="5">
        <v>2</v>
      </c>
      <c r="B243" s="6">
        <v>45716</v>
      </c>
      <c r="C243" s="7" t="s">
        <v>19</v>
      </c>
      <c r="D243" s="8" t="s">
        <v>30</v>
      </c>
      <c r="E243" s="7" t="s">
        <v>31</v>
      </c>
      <c r="F243" s="7" t="s">
        <v>11</v>
      </c>
      <c r="G243" s="64">
        <v>81.91</v>
      </c>
      <c r="H243" s="8" t="s">
        <v>12</v>
      </c>
    </row>
    <row r="244" spans="1:8" ht="17.399999999999999" hidden="1" customHeight="1" x14ac:dyDescent="0.3">
      <c r="A244" s="5">
        <v>2</v>
      </c>
      <c r="B244" s="6">
        <v>45716</v>
      </c>
      <c r="C244" s="7" t="s">
        <v>19</v>
      </c>
      <c r="D244" s="8" t="s">
        <v>35</v>
      </c>
      <c r="E244" s="7" t="s">
        <v>36</v>
      </c>
      <c r="F244" s="7" t="s">
        <v>11</v>
      </c>
      <c r="G244" s="64">
        <v>190.5</v>
      </c>
      <c r="H244" s="8" t="s">
        <v>12</v>
      </c>
    </row>
    <row r="245" spans="1:8" ht="17.399999999999999" hidden="1" customHeight="1" x14ac:dyDescent="0.3">
      <c r="A245" s="5">
        <v>2</v>
      </c>
      <c r="B245" s="6">
        <v>45716</v>
      </c>
      <c r="C245" s="7" t="s">
        <v>19</v>
      </c>
      <c r="D245" s="8" t="s">
        <v>39</v>
      </c>
      <c r="E245" s="7" t="s">
        <v>40</v>
      </c>
      <c r="F245" s="7" t="s">
        <v>11</v>
      </c>
      <c r="G245" s="64">
        <v>-261.26</v>
      </c>
      <c r="H245" s="8" t="s">
        <v>12</v>
      </c>
    </row>
    <row r="246" spans="1:8" ht="17.399999999999999" hidden="1" customHeight="1" x14ac:dyDescent="0.3">
      <c r="A246" s="5">
        <v>2</v>
      </c>
      <c r="B246" s="6">
        <v>45716</v>
      </c>
      <c r="C246" s="7" t="s">
        <v>19</v>
      </c>
      <c r="D246" s="8" t="s">
        <v>37</v>
      </c>
      <c r="E246" s="7" t="s">
        <v>38</v>
      </c>
      <c r="F246" s="7" t="s">
        <v>33</v>
      </c>
      <c r="G246" s="65">
        <v>1025.23</v>
      </c>
      <c r="H246" s="8" t="s">
        <v>12</v>
      </c>
    </row>
    <row r="247" spans="1:8" ht="17.399999999999999" hidden="1" customHeight="1" x14ac:dyDescent="0.3">
      <c r="A247" s="5">
        <v>2</v>
      </c>
      <c r="B247" s="6">
        <v>45716</v>
      </c>
      <c r="C247" s="7" t="s">
        <v>19</v>
      </c>
      <c r="D247" s="8" t="s">
        <v>44</v>
      </c>
      <c r="E247" s="7" t="s">
        <v>45</v>
      </c>
      <c r="F247" s="7" t="s">
        <v>11</v>
      </c>
      <c r="G247" s="64">
        <v>9.65</v>
      </c>
      <c r="H247" s="8" t="s">
        <v>12</v>
      </c>
    </row>
    <row r="248" spans="1:8" ht="17.399999999999999" hidden="1" customHeight="1" x14ac:dyDescent="0.3">
      <c r="A248" s="5">
        <v>2</v>
      </c>
      <c r="B248" s="6">
        <v>45716</v>
      </c>
      <c r="C248" s="7" t="s">
        <v>19</v>
      </c>
      <c r="D248" s="8" t="s">
        <v>47</v>
      </c>
      <c r="E248" s="7" t="s">
        <v>48</v>
      </c>
      <c r="F248" s="7" t="s">
        <v>11</v>
      </c>
      <c r="G248" s="64">
        <v>348.63</v>
      </c>
      <c r="H248" s="8" t="s">
        <v>12</v>
      </c>
    </row>
    <row r="249" spans="1:8" ht="17.399999999999999" hidden="1" customHeight="1" x14ac:dyDescent="0.3">
      <c r="A249" s="5">
        <v>2</v>
      </c>
      <c r="B249" s="6">
        <v>45716</v>
      </c>
      <c r="C249" s="7" t="s">
        <v>8</v>
      </c>
      <c r="D249" s="8" t="s">
        <v>34</v>
      </c>
      <c r="E249" s="7" t="s">
        <v>10</v>
      </c>
      <c r="F249" s="7" t="s">
        <v>33</v>
      </c>
      <c r="G249" s="63">
        <v>650.47</v>
      </c>
      <c r="H249" s="8" t="s">
        <v>12</v>
      </c>
    </row>
    <row r="250" spans="1:8" ht="17.399999999999999" hidden="1" customHeight="1" x14ac:dyDescent="0.3">
      <c r="A250" s="5">
        <v>2</v>
      </c>
      <c r="B250" s="6">
        <v>45694</v>
      </c>
      <c r="C250" s="7" t="s">
        <v>8</v>
      </c>
      <c r="D250" s="8" t="s">
        <v>24</v>
      </c>
      <c r="E250" s="7" t="s">
        <v>10</v>
      </c>
      <c r="F250" s="7" t="s">
        <v>11</v>
      </c>
      <c r="G250" s="63">
        <v>298.06</v>
      </c>
      <c r="H250" s="8" t="s">
        <v>12</v>
      </c>
    </row>
    <row r="251" spans="1:8" ht="17.399999999999999" hidden="1" customHeight="1" x14ac:dyDescent="0.3">
      <c r="A251" s="5">
        <v>2</v>
      </c>
      <c r="B251" s="6">
        <v>45688</v>
      </c>
      <c r="C251" s="7" t="s">
        <v>19</v>
      </c>
      <c r="D251" s="8" t="s">
        <v>20</v>
      </c>
      <c r="E251" s="7" t="s">
        <v>21</v>
      </c>
      <c r="F251" s="7" t="s">
        <v>11</v>
      </c>
      <c r="G251" s="64">
        <v>4.04</v>
      </c>
      <c r="H251" s="8" t="s">
        <v>12</v>
      </c>
    </row>
    <row r="252" spans="1:8" ht="17.399999999999999" hidden="1" customHeight="1" x14ac:dyDescent="0.3">
      <c r="A252" s="5">
        <v>2</v>
      </c>
      <c r="B252" s="6">
        <v>45688</v>
      </c>
      <c r="C252" s="7" t="s">
        <v>19</v>
      </c>
      <c r="D252" s="8" t="s">
        <v>22</v>
      </c>
      <c r="E252" s="7" t="s">
        <v>23</v>
      </c>
      <c r="F252" s="7" t="s">
        <v>11</v>
      </c>
      <c r="G252" s="64">
        <v>73.739999999999995</v>
      </c>
      <c r="H252" s="8" t="s">
        <v>12</v>
      </c>
    </row>
    <row r="253" spans="1:8" ht="17.399999999999999" hidden="1" customHeight="1" x14ac:dyDescent="0.3">
      <c r="A253" s="5">
        <v>2</v>
      </c>
      <c r="B253" s="6">
        <v>45688</v>
      </c>
      <c r="C253" s="7" t="s">
        <v>19</v>
      </c>
      <c r="D253" s="8" t="s">
        <v>26</v>
      </c>
      <c r="E253" s="7" t="s">
        <v>27</v>
      </c>
      <c r="F253" s="7" t="s">
        <v>11</v>
      </c>
      <c r="G253" s="64">
        <v>111.10999999999999</v>
      </c>
      <c r="H253" s="8" t="s">
        <v>12</v>
      </c>
    </row>
    <row r="254" spans="1:8" ht="17.399999999999999" hidden="1" customHeight="1" x14ac:dyDescent="0.3">
      <c r="A254" s="5">
        <v>2</v>
      </c>
      <c r="B254" s="6">
        <v>45688</v>
      </c>
      <c r="C254" s="7" t="s">
        <v>19</v>
      </c>
      <c r="D254" s="8" t="s">
        <v>28</v>
      </c>
      <c r="E254" s="7" t="s">
        <v>29</v>
      </c>
      <c r="F254" s="7" t="s">
        <v>11</v>
      </c>
      <c r="G254" s="64">
        <v>297.79000000000002</v>
      </c>
      <c r="H254" s="8" t="s">
        <v>12</v>
      </c>
    </row>
    <row r="255" spans="1:8" ht="17.399999999999999" hidden="1" customHeight="1" x14ac:dyDescent="0.3">
      <c r="A255" s="5">
        <v>2</v>
      </c>
      <c r="B255" s="6">
        <v>45688</v>
      </c>
      <c r="C255" s="7" t="s">
        <v>19</v>
      </c>
      <c r="D255" s="8" t="s">
        <v>30</v>
      </c>
      <c r="E255" s="7" t="s">
        <v>31</v>
      </c>
      <c r="F255" s="7" t="s">
        <v>11</v>
      </c>
      <c r="G255" s="64">
        <v>70</v>
      </c>
      <c r="H255" s="8" t="s">
        <v>12</v>
      </c>
    </row>
    <row r="256" spans="1:8" ht="17.399999999999999" hidden="1" customHeight="1" x14ac:dyDescent="0.3">
      <c r="A256" s="5">
        <v>2</v>
      </c>
      <c r="B256" s="6">
        <v>45688</v>
      </c>
      <c r="C256" s="7" t="s">
        <v>19</v>
      </c>
      <c r="D256" s="8" t="s">
        <v>35</v>
      </c>
      <c r="E256" s="7" t="s">
        <v>36</v>
      </c>
      <c r="F256" s="7" t="s">
        <v>11</v>
      </c>
      <c r="G256" s="64">
        <v>177.25</v>
      </c>
      <c r="H256" s="8" t="s">
        <v>12</v>
      </c>
    </row>
    <row r="257" spans="1:8" ht="17.399999999999999" hidden="1" customHeight="1" x14ac:dyDescent="0.3">
      <c r="A257" s="5">
        <v>2</v>
      </c>
      <c r="B257" s="6">
        <v>45688</v>
      </c>
      <c r="C257" s="7" t="s">
        <v>19</v>
      </c>
      <c r="D257" s="8" t="s">
        <v>39</v>
      </c>
      <c r="E257" s="7" t="s">
        <v>40</v>
      </c>
      <c r="F257" s="7" t="s">
        <v>11</v>
      </c>
      <c r="G257" s="64">
        <v>104.77</v>
      </c>
      <c r="H257" s="8" t="s">
        <v>12</v>
      </c>
    </row>
    <row r="258" spans="1:8" ht="17.399999999999999" hidden="1" customHeight="1" x14ac:dyDescent="0.3">
      <c r="A258" s="5">
        <v>2</v>
      </c>
      <c r="B258" s="6">
        <v>45688</v>
      </c>
      <c r="C258" s="7" t="s">
        <v>19</v>
      </c>
      <c r="D258" s="8" t="s">
        <v>37</v>
      </c>
      <c r="E258" s="7" t="s">
        <v>38</v>
      </c>
      <c r="F258" s="7" t="s">
        <v>33</v>
      </c>
      <c r="G258" s="65">
        <v>1025.23</v>
      </c>
      <c r="H258" s="8" t="s">
        <v>12</v>
      </c>
    </row>
    <row r="259" spans="1:8" ht="17.399999999999999" hidden="1" customHeight="1" x14ac:dyDescent="0.3">
      <c r="A259" s="5">
        <v>2</v>
      </c>
      <c r="B259" s="6">
        <v>45688</v>
      </c>
      <c r="C259" s="7" t="s">
        <v>19</v>
      </c>
      <c r="D259" s="8" t="s">
        <v>44</v>
      </c>
      <c r="E259" s="7" t="s">
        <v>45</v>
      </c>
      <c r="F259" s="7" t="s">
        <v>11</v>
      </c>
      <c r="G259" s="64">
        <v>33.71</v>
      </c>
      <c r="H259" s="8" t="s">
        <v>12</v>
      </c>
    </row>
    <row r="260" spans="1:8" ht="17.399999999999999" hidden="1" customHeight="1" x14ac:dyDescent="0.3">
      <c r="A260" s="5">
        <v>2</v>
      </c>
      <c r="B260" s="6">
        <v>45688</v>
      </c>
      <c r="C260" s="7" t="s">
        <v>19</v>
      </c>
      <c r="D260" s="8" t="s">
        <v>47</v>
      </c>
      <c r="E260" s="7" t="s">
        <v>48</v>
      </c>
      <c r="F260" s="7" t="s">
        <v>11</v>
      </c>
      <c r="G260" s="64">
        <v>100.47</v>
      </c>
      <c r="H260" s="8" t="s">
        <v>12</v>
      </c>
    </row>
    <row r="261" spans="1:8" ht="17.399999999999999" hidden="1" customHeight="1" x14ac:dyDescent="0.3">
      <c r="A261" s="5">
        <v>2</v>
      </c>
      <c r="B261" s="6">
        <v>45688</v>
      </c>
      <c r="C261" s="7" t="s">
        <v>8</v>
      </c>
      <c r="D261" s="8" t="s">
        <v>34</v>
      </c>
      <c r="E261" s="7" t="s">
        <v>10</v>
      </c>
      <c r="F261" s="7" t="s">
        <v>33</v>
      </c>
      <c r="G261" s="63">
        <v>436.34</v>
      </c>
      <c r="H261" s="8" t="s">
        <v>12</v>
      </c>
    </row>
    <row r="262" spans="1:8" ht="17.399999999999999" hidden="1" customHeight="1" x14ac:dyDescent="0.3">
      <c r="A262" s="5">
        <v>2</v>
      </c>
      <c r="B262" s="6">
        <v>45657</v>
      </c>
      <c r="C262" s="7" t="s">
        <v>19</v>
      </c>
      <c r="D262" s="8" t="s">
        <v>20</v>
      </c>
      <c r="E262" s="7" t="s">
        <v>21</v>
      </c>
      <c r="F262" s="7" t="s">
        <v>11</v>
      </c>
      <c r="G262" s="63">
        <v>11.05</v>
      </c>
      <c r="H262" s="8" t="s">
        <v>12</v>
      </c>
    </row>
    <row r="263" spans="1:8" ht="17.399999999999999" hidden="1" customHeight="1" x14ac:dyDescent="0.3">
      <c r="A263" s="5">
        <v>2</v>
      </c>
      <c r="B263" s="6">
        <v>45657</v>
      </c>
      <c r="C263" s="7" t="s">
        <v>19</v>
      </c>
      <c r="D263" s="8" t="s">
        <v>22</v>
      </c>
      <c r="E263" s="7" t="s">
        <v>23</v>
      </c>
      <c r="F263" s="7" t="s">
        <v>11</v>
      </c>
      <c r="G263" s="63">
        <v>123.28999999999999</v>
      </c>
      <c r="H263" s="8" t="s">
        <v>12</v>
      </c>
    </row>
    <row r="264" spans="1:8" ht="17.399999999999999" hidden="1" customHeight="1" x14ac:dyDescent="0.3">
      <c r="A264" s="5">
        <v>2</v>
      </c>
      <c r="B264" s="6">
        <v>45657</v>
      </c>
      <c r="C264" s="7" t="s">
        <v>19</v>
      </c>
      <c r="D264" s="8" t="s">
        <v>26</v>
      </c>
      <c r="E264" s="7" t="s">
        <v>27</v>
      </c>
      <c r="F264" s="7" t="s">
        <v>11</v>
      </c>
      <c r="G264" s="63">
        <v>102.53999999999999</v>
      </c>
      <c r="H264" s="8" t="s">
        <v>12</v>
      </c>
    </row>
    <row r="265" spans="1:8" ht="17.399999999999999" hidden="1" customHeight="1" x14ac:dyDescent="0.3">
      <c r="A265" s="5">
        <v>2</v>
      </c>
      <c r="B265" s="6">
        <v>45657</v>
      </c>
      <c r="C265" s="7" t="s">
        <v>19</v>
      </c>
      <c r="D265" s="8" t="s">
        <v>28</v>
      </c>
      <c r="E265" s="7" t="s">
        <v>29</v>
      </c>
      <c r="F265" s="7" t="s">
        <v>11</v>
      </c>
      <c r="G265" s="63">
        <v>274</v>
      </c>
      <c r="H265" s="8" t="s">
        <v>12</v>
      </c>
    </row>
    <row r="266" spans="1:8" ht="17.399999999999999" hidden="1" customHeight="1" x14ac:dyDescent="0.3">
      <c r="A266" s="5">
        <v>2</v>
      </c>
      <c r="B266" s="6">
        <v>45657</v>
      </c>
      <c r="C266" s="7" t="s">
        <v>19</v>
      </c>
      <c r="D266" s="8" t="s">
        <v>30</v>
      </c>
      <c r="E266" s="7" t="s">
        <v>31</v>
      </c>
      <c r="F266" s="7" t="s">
        <v>11</v>
      </c>
      <c r="G266" s="63">
        <v>40</v>
      </c>
      <c r="H266" s="8" t="s">
        <v>12</v>
      </c>
    </row>
    <row r="267" spans="1:8" ht="17.399999999999999" hidden="1" customHeight="1" x14ac:dyDescent="0.3">
      <c r="A267" s="5">
        <v>2</v>
      </c>
      <c r="B267" s="6">
        <v>45657</v>
      </c>
      <c r="C267" s="7" t="s">
        <v>19</v>
      </c>
      <c r="D267" s="8" t="s">
        <v>35</v>
      </c>
      <c r="E267" s="7" t="s">
        <v>36</v>
      </c>
      <c r="F267" s="7" t="s">
        <v>11</v>
      </c>
      <c r="G267" s="63">
        <v>143.09</v>
      </c>
      <c r="H267" s="8" t="s">
        <v>12</v>
      </c>
    </row>
    <row r="268" spans="1:8" ht="17.399999999999999" hidden="1" customHeight="1" x14ac:dyDescent="0.3">
      <c r="A268" s="5">
        <v>2</v>
      </c>
      <c r="B268" s="6">
        <v>45657</v>
      </c>
      <c r="C268" s="7" t="s">
        <v>19</v>
      </c>
      <c r="D268" s="8" t="s">
        <v>39</v>
      </c>
      <c r="E268" s="7" t="s">
        <v>40</v>
      </c>
      <c r="F268" s="7" t="s">
        <v>11</v>
      </c>
      <c r="G268" s="63">
        <v>107.53999999999999</v>
      </c>
      <c r="H268" s="8" t="s">
        <v>12</v>
      </c>
    </row>
    <row r="269" spans="1:8" ht="17.399999999999999" hidden="1" customHeight="1" x14ac:dyDescent="0.3">
      <c r="A269" s="5">
        <v>2</v>
      </c>
      <c r="B269" s="6">
        <v>45657</v>
      </c>
      <c r="C269" s="7" t="s">
        <v>19</v>
      </c>
      <c r="D269" s="8" t="s">
        <v>44</v>
      </c>
      <c r="E269" s="7" t="s">
        <v>45</v>
      </c>
      <c r="F269" s="7" t="s">
        <v>11</v>
      </c>
      <c r="G269" s="63">
        <v>52.92</v>
      </c>
      <c r="H269" s="8" t="s">
        <v>12</v>
      </c>
    </row>
    <row r="270" spans="1:8" ht="17.399999999999999" hidden="1" customHeight="1" x14ac:dyDescent="0.3">
      <c r="A270" s="5">
        <v>2</v>
      </c>
      <c r="B270" s="6">
        <v>45657</v>
      </c>
      <c r="C270" s="7" t="s">
        <v>19</v>
      </c>
      <c r="D270" s="8" t="s">
        <v>47</v>
      </c>
      <c r="E270" s="7" t="s">
        <v>48</v>
      </c>
      <c r="F270" s="7" t="s">
        <v>11</v>
      </c>
      <c r="G270" s="63">
        <v>85.5</v>
      </c>
      <c r="H270" s="8" t="s">
        <v>12</v>
      </c>
    </row>
    <row r="271" spans="1:8" ht="17.399999999999999" hidden="1" customHeight="1" x14ac:dyDescent="0.3">
      <c r="A271" s="5">
        <v>2</v>
      </c>
      <c r="B271" s="6">
        <v>45656</v>
      </c>
      <c r="C271" s="7" t="s">
        <v>19</v>
      </c>
      <c r="D271" s="8" t="s">
        <v>37</v>
      </c>
      <c r="E271" s="7" t="s">
        <v>38</v>
      </c>
      <c r="F271" s="7" t="s">
        <v>33</v>
      </c>
      <c r="G271" s="65">
        <v>1023.8</v>
      </c>
      <c r="H271" s="8" t="s">
        <v>12</v>
      </c>
    </row>
    <row r="272" spans="1:8" ht="17.399999999999999" hidden="1" customHeight="1" x14ac:dyDescent="0.3">
      <c r="A272" s="5">
        <v>2</v>
      </c>
      <c r="B272" s="6">
        <v>45643</v>
      </c>
      <c r="C272" s="7" t="s">
        <v>8</v>
      </c>
      <c r="D272" s="8" t="s">
        <v>17</v>
      </c>
      <c r="E272" s="7" t="s">
        <v>10</v>
      </c>
      <c r="F272" s="7" t="s">
        <v>11</v>
      </c>
      <c r="G272" s="63">
        <v>298.95999999999998</v>
      </c>
      <c r="H272" s="8" t="s">
        <v>12</v>
      </c>
    </row>
    <row r="273" spans="1:8" ht="17.399999999999999" hidden="1" customHeight="1" x14ac:dyDescent="0.3">
      <c r="A273" s="5">
        <v>2</v>
      </c>
      <c r="B273" s="6">
        <v>45638</v>
      </c>
      <c r="C273" s="7" t="s">
        <v>8</v>
      </c>
      <c r="D273" s="8" t="s">
        <v>32</v>
      </c>
      <c r="E273" s="7" t="s">
        <v>10</v>
      </c>
      <c r="F273" s="7" t="s">
        <v>33</v>
      </c>
      <c r="G273" s="63">
        <v>100</v>
      </c>
      <c r="H273" s="8" t="s">
        <v>12</v>
      </c>
    </row>
    <row r="274" spans="1:8" ht="17.399999999999999" hidden="1" customHeight="1" x14ac:dyDescent="0.3">
      <c r="A274" s="5">
        <v>2</v>
      </c>
      <c r="B274" s="6">
        <v>45626</v>
      </c>
      <c r="C274" s="7" t="s">
        <v>19</v>
      </c>
      <c r="D274" s="8" t="s">
        <v>20</v>
      </c>
      <c r="E274" s="7" t="s">
        <v>21</v>
      </c>
      <c r="F274" s="7" t="s">
        <v>11</v>
      </c>
      <c r="G274" s="63">
        <v>28.24</v>
      </c>
      <c r="H274" s="8" t="s">
        <v>12</v>
      </c>
    </row>
    <row r="275" spans="1:8" ht="17.399999999999999" hidden="1" customHeight="1" x14ac:dyDescent="0.3">
      <c r="A275" s="5">
        <v>2</v>
      </c>
      <c r="B275" s="6">
        <v>45626</v>
      </c>
      <c r="C275" s="7" t="s">
        <v>19</v>
      </c>
      <c r="D275" s="8" t="s">
        <v>22</v>
      </c>
      <c r="E275" s="7" t="s">
        <v>23</v>
      </c>
      <c r="F275" s="7" t="s">
        <v>11</v>
      </c>
      <c r="G275" s="63">
        <v>88.85</v>
      </c>
      <c r="H275" s="8" t="s">
        <v>12</v>
      </c>
    </row>
    <row r="276" spans="1:8" ht="17.399999999999999" hidden="1" customHeight="1" x14ac:dyDescent="0.3">
      <c r="A276" s="5">
        <v>2</v>
      </c>
      <c r="B276" s="6">
        <v>45626</v>
      </c>
      <c r="C276" s="7" t="s">
        <v>19</v>
      </c>
      <c r="D276" s="8" t="s">
        <v>26</v>
      </c>
      <c r="E276" s="7" t="s">
        <v>27</v>
      </c>
      <c r="F276" s="7" t="s">
        <v>11</v>
      </c>
      <c r="G276" s="63">
        <v>135.14999999999998</v>
      </c>
      <c r="H276" s="8" t="s">
        <v>12</v>
      </c>
    </row>
    <row r="277" spans="1:8" ht="17.399999999999999" hidden="1" customHeight="1" x14ac:dyDescent="0.3">
      <c r="A277" s="5">
        <v>2</v>
      </c>
      <c r="B277" s="6">
        <v>45626</v>
      </c>
      <c r="C277" s="7" t="s">
        <v>19</v>
      </c>
      <c r="D277" s="8" t="s">
        <v>28</v>
      </c>
      <c r="E277" s="7" t="s">
        <v>29</v>
      </c>
      <c r="F277" s="7" t="s">
        <v>11</v>
      </c>
      <c r="G277" s="63">
        <v>284.8</v>
      </c>
      <c r="H277" s="8" t="s">
        <v>12</v>
      </c>
    </row>
    <row r="278" spans="1:8" ht="17.399999999999999" hidden="1" customHeight="1" x14ac:dyDescent="0.3">
      <c r="A278" s="5">
        <v>2</v>
      </c>
      <c r="B278" s="6">
        <v>45626</v>
      </c>
      <c r="C278" s="7" t="s">
        <v>19</v>
      </c>
      <c r="D278" s="8" t="s">
        <v>30</v>
      </c>
      <c r="E278" s="7" t="s">
        <v>31</v>
      </c>
      <c r="F278" s="7" t="s">
        <v>11</v>
      </c>
      <c r="G278" s="63">
        <v>40.76</v>
      </c>
      <c r="H278" s="8" t="s">
        <v>12</v>
      </c>
    </row>
    <row r="279" spans="1:8" ht="17.399999999999999" hidden="1" customHeight="1" x14ac:dyDescent="0.3">
      <c r="A279" s="5">
        <v>2</v>
      </c>
      <c r="B279" s="6">
        <v>45626</v>
      </c>
      <c r="C279" s="7" t="s">
        <v>19</v>
      </c>
      <c r="D279" s="8" t="s">
        <v>35</v>
      </c>
      <c r="E279" s="7" t="s">
        <v>36</v>
      </c>
      <c r="F279" s="7" t="s">
        <v>11</v>
      </c>
      <c r="G279" s="63">
        <v>163.84</v>
      </c>
      <c r="H279" s="8" t="s">
        <v>12</v>
      </c>
    </row>
    <row r="280" spans="1:8" ht="17.399999999999999" hidden="1" customHeight="1" x14ac:dyDescent="0.3">
      <c r="A280" s="5">
        <v>2</v>
      </c>
      <c r="B280" s="6">
        <v>45626</v>
      </c>
      <c r="C280" s="7" t="s">
        <v>19</v>
      </c>
      <c r="D280" s="8" t="s">
        <v>39</v>
      </c>
      <c r="E280" s="7" t="s">
        <v>40</v>
      </c>
      <c r="F280" s="7" t="s">
        <v>11</v>
      </c>
      <c r="G280" s="63">
        <v>50.83</v>
      </c>
      <c r="H280" s="8" t="s">
        <v>12</v>
      </c>
    </row>
    <row r="281" spans="1:8" ht="17.399999999999999" hidden="1" customHeight="1" x14ac:dyDescent="0.3">
      <c r="A281" s="5">
        <v>2</v>
      </c>
      <c r="B281" s="6">
        <v>45626</v>
      </c>
      <c r="C281" s="7" t="s">
        <v>19</v>
      </c>
      <c r="D281" s="8" t="s">
        <v>44</v>
      </c>
      <c r="E281" s="7" t="s">
        <v>45</v>
      </c>
      <c r="F281" s="7" t="s">
        <v>11</v>
      </c>
      <c r="G281" s="63">
        <v>5.59</v>
      </c>
      <c r="H281" s="8" t="s">
        <v>12</v>
      </c>
    </row>
    <row r="282" spans="1:8" ht="17.399999999999999" hidden="1" customHeight="1" x14ac:dyDescent="0.3">
      <c r="A282" s="5">
        <v>2</v>
      </c>
      <c r="B282" s="6">
        <v>45626</v>
      </c>
      <c r="C282" s="7" t="s">
        <v>19</v>
      </c>
      <c r="D282" s="8" t="s">
        <v>47</v>
      </c>
      <c r="E282" s="7" t="s">
        <v>48</v>
      </c>
      <c r="F282" s="7" t="s">
        <v>11</v>
      </c>
      <c r="G282" s="63">
        <v>276.43</v>
      </c>
      <c r="H282" s="8" t="s">
        <v>12</v>
      </c>
    </row>
    <row r="283" spans="1:8" ht="17.399999999999999" hidden="1" customHeight="1" x14ac:dyDescent="0.3">
      <c r="A283" s="5">
        <v>2</v>
      </c>
      <c r="B283" s="6">
        <v>45625</v>
      </c>
      <c r="C283" s="7" t="s">
        <v>19</v>
      </c>
      <c r="D283" s="8" t="s">
        <v>37</v>
      </c>
      <c r="E283" s="7" t="s">
        <v>38</v>
      </c>
      <c r="F283" s="7" t="s">
        <v>33</v>
      </c>
      <c r="G283" s="65">
        <v>1023.8</v>
      </c>
      <c r="H283" s="8" t="s">
        <v>12</v>
      </c>
    </row>
    <row r="284" spans="1:8" ht="17.399999999999999" hidden="1" customHeight="1" x14ac:dyDescent="0.3">
      <c r="A284" s="5">
        <v>2</v>
      </c>
      <c r="B284" s="6">
        <v>45619</v>
      </c>
      <c r="C284" s="7" t="s">
        <v>8</v>
      </c>
      <c r="D284" s="8" t="s">
        <v>32</v>
      </c>
      <c r="E284" s="7" t="s">
        <v>10</v>
      </c>
      <c r="F284" s="7" t="s">
        <v>33</v>
      </c>
      <c r="G284" s="63">
        <v>82.04</v>
      </c>
      <c r="H284" s="8" t="s">
        <v>12</v>
      </c>
    </row>
    <row r="285" spans="1:8" ht="17.399999999999999" hidden="1" customHeight="1" x14ac:dyDescent="0.3">
      <c r="A285" s="5">
        <v>2</v>
      </c>
      <c r="B285" s="6">
        <v>45613</v>
      </c>
      <c r="C285" s="7" t="s">
        <v>8</v>
      </c>
      <c r="D285" s="8" t="s">
        <v>16</v>
      </c>
      <c r="E285" s="7" t="s">
        <v>10</v>
      </c>
      <c r="F285" s="7" t="s">
        <v>11</v>
      </c>
      <c r="G285" s="63">
        <v>298.95999999999998</v>
      </c>
      <c r="H285" s="8" t="s">
        <v>12</v>
      </c>
    </row>
    <row r="286" spans="1:8" ht="17.399999999999999" hidden="1" customHeight="1" x14ac:dyDescent="0.3">
      <c r="A286" s="5">
        <v>2</v>
      </c>
      <c r="B286" s="6">
        <v>45610</v>
      </c>
      <c r="C286" s="7" t="s">
        <v>8</v>
      </c>
      <c r="D286" s="8" t="s">
        <v>32</v>
      </c>
      <c r="E286" s="7" t="s">
        <v>10</v>
      </c>
      <c r="F286" s="7" t="s">
        <v>33</v>
      </c>
      <c r="G286" s="63">
        <v>242.13</v>
      </c>
      <c r="H286" s="8" t="s">
        <v>12</v>
      </c>
    </row>
    <row r="287" spans="1:8" ht="17.399999999999999" hidden="1" customHeight="1" x14ac:dyDescent="0.3">
      <c r="A287" s="5">
        <v>2</v>
      </c>
      <c r="B287" s="6">
        <v>45605</v>
      </c>
      <c r="C287" s="7" t="s">
        <v>8</v>
      </c>
      <c r="D287" s="8" t="s">
        <v>32</v>
      </c>
      <c r="E287" s="7" t="s">
        <v>10</v>
      </c>
      <c r="F287" s="7" t="s">
        <v>33</v>
      </c>
      <c r="G287" s="63">
        <v>79.94</v>
      </c>
      <c r="H287" s="8" t="s">
        <v>12</v>
      </c>
    </row>
    <row r="288" spans="1:8" ht="17.399999999999999" hidden="1" customHeight="1" x14ac:dyDescent="0.3">
      <c r="A288" s="5">
        <v>2</v>
      </c>
      <c r="B288" s="6">
        <v>45596</v>
      </c>
      <c r="C288" s="7" t="s">
        <v>19</v>
      </c>
      <c r="D288" s="8" t="s">
        <v>20</v>
      </c>
      <c r="E288" s="7" t="s">
        <v>21</v>
      </c>
      <c r="F288" s="7" t="s">
        <v>11</v>
      </c>
      <c r="G288" s="63">
        <v>9</v>
      </c>
      <c r="H288" s="8" t="s">
        <v>12</v>
      </c>
    </row>
    <row r="289" spans="1:8" ht="17.399999999999999" hidden="1" customHeight="1" x14ac:dyDescent="0.3">
      <c r="A289" s="5">
        <v>2</v>
      </c>
      <c r="B289" s="6">
        <v>45596</v>
      </c>
      <c r="C289" s="7" t="s">
        <v>19</v>
      </c>
      <c r="D289" s="8" t="s">
        <v>22</v>
      </c>
      <c r="E289" s="7" t="s">
        <v>23</v>
      </c>
      <c r="F289" s="7" t="s">
        <v>11</v>
      </c>
      <c r="G289" s="63">
        <v>84.93</v>
      </c>
      <c r="H289" s="8" t="s">
        <v>12</v>
      </c>
    </row>
    <row r="290" spans="1:8" ht="17.399999999999999" hidden="1" customHeight="1" x14ac:dyDescent="0.3">
      <c r="A290" s="5">
        <v>2</v>
      </c>
      <c r="B290" s="6">
        <v>45596</v>
      </c>
      <c r="C290" s="7" t="s">
        <v>19</v>
      </c>
      <c r="D290" s="8" t="s">
        <v>26</v>
      </c>
      <c r="E290" s="7" t="s">
        <v>27</v>
      </c>
      <c r="F290" s="7" t="s">
        <v>11</v>
      </c>
      <c r="G290" s="63">
        <v>50.86</v>
      </c>
      <c r="H290" s="8" t="s">
        <v>12</v>
      </c>
    </row>
    <row r="291" spans="1:8" ht="17.399999999999999" hidden="1" customHeight="1" x14ac:dyDescent="0.3">
      <c r="A291" s="5">
        <v>2</v>
      </c>
      <c r="B291" s="6">
        <v>45596</v>
      </c>
      <c r="C291" s="7" t="s">
        <v>19</v>
      </c>
      <c r="D291" s="8" t="s">
        <v>28</v>
      </c>
      <c r="E291" s="7" t="s">
        <v>29</v>
      </c>
      <c r="F291" s="7" t="s">
        <v>11</v>
      </c>
      <c r="G291" s="63">
        <v>274</v>
      </c>
      <c r="H291" s="8" t="s">
        <v>12</v>
      </c>
    </row>
    <row r="292" spans="1:8" ht="17.399999999999999" hidden="1" customHeight="1" x14ac:dyDescent="0.3">
      <c r="A292" s="5">
        <v>2</v>
      </c>
      <c r="B292" s="6">
        <v>45596</v>
      </c>
      <c r="C292" s="7" t="s">
        <v>19</v>
      </c>
      <c r="D292" s="8" t="s">
        <v>30</v>
      </c>
      <c r="E292" s="7" t="s">
        <v>31</v>
      </c>
      <c r="F292" s="7" t="s">
        <v>11</v>
      </c>
      <c r="G292" s="63">
        <v>45</v>
      </c>
      <c r="H292" s="8" t="s">
        <v>12</v>
      </c>
    </row>
    <row r="293" spans="1:8" ht="17.399999999999999" hidden="1" customHeight="1" x14ac:dyDescent="0.3">
      <c r="A293" s="5">
        <v>2</v>
      </c>
      <c r="B293" s="6">
        <v>45596</v>
      </c>
      <c r="C293" s="7" t="s">
        <v>19</v>
      </c>
      <c r="D293" s="8" t="s">
        <v>35</v>
      </c>
      <c r="E293" s="7" t="s">
        <v>36</v>
      </c>
      <c r="F293" s="7" t="s">
        <v>11</v>
      </c>
      <c r="G293" s="63">
        <v>151.34</v>
      </c>
      <c r="H293" s="8" t="s">
        <v>12</v>
      </c>
    </row>
    <row r="294" spans="1:8" ht="17.399999999999999" hidden="1" customHeight="1" x14ac:dyDescent="0.3">
      <c r="A294" s="5">
        <v>2</v>
      </c>
      <c r="B294" s="6">
        <v>45596</v>
      </c>
      <c r="C294" s="7" t="s">
        <v>19</v>
      </c>
      <c r="D294" s="8" t="s">
        <v>39</v>
      </c>
      <c r="E294" s="7" t="s">
        <v>40</v>
      </c>
      <c r="F294" s="7" t="s">
        <v>11</v>
      </c>
      <c r="G294" s="63">
        <v>26.92</v>
      </c>
      <c r="H294" s="8" t="s">
        <v>12</v>
      </c>
    </row>
    <row r="295" spans="1:8" ht="17.399999999999999" hidden="1" customHeight="1" x14ac:dyDescent="0.3">
      <c r="A295" s="5">
        <v>2</v>
      </c>
      <c r="B295" s="6">
        <v>45596</v>
      </c>
      <c r="C295" s="7" t="s">
        <v>19</v>
      </c>
      <c r="D295" s="8" t="s">
        <v>44</v>
      </c>
      <c r="E295" s="7" t="s">
        <v>45</v>
      </c>
      <c r="F295" s="7" t="s">
        <v>11</v>
      </c>
      <c r="G295" s="63">
        <v>17.560000000000002</v>
      </c>
      <c r="H295" s="8" t="s">
        <v>12</v>
      </c>
    </row>
    <row r="296" spans="1:8" ht="17.399999999999999" hidden="1" customHeight="1" x14ac:dyDescent="0.3">
      <c r="A296" s="5">
        <v>2</v>
      </c>
      <c r="B296" s="6">
        <v>45596</v>
      </c>
      <c r="C296" s="7" t="s">
        <v>19</v>
      </c>
      <c r="D296" s="8" t="s">
        <v>47</v>
      </c>
      <c r="E296" s="7" t="s">
        <v>48</v>
      </c>
      <c r="F296" s="7" t="s">
        <v>11</v>
      </c>
      <c r="G296" s="63">
        <v>565.41000000000008</v>
      </c>
      <c r="H296" s="8" t="s">
        <v>12</v>
      </c>
    </row>
    <row r="297" spans="1:8" ht="17.399999999999999" hidden="1" customHeight="1" x14ac:dyDescent="0.3">
      <c r="A297" s="5">
        <v>2</v>
      </c>
      <c r="B297" s="6">
        <v>45595</v>
      </c>
      <c r="C297" s="7" t="s">
        <v>19</v>
      </c>
      <c r="D297" s="8" t="s">
        <v>37</v>
      </c>
      <c r="E297" s="7" t="s">
        <v>38</v>
      </c>
      <c r="F297" s="7" t="s">
        <v>33</v>
      </c>
      <c r="G297" s="65">
        <v>1023.8</v>
      </c>
      <c r="H297" s="8" t="s">
        <v>12</v>
      </c>
    </row>
    <row r="298" spans="1:8" ht="17.399999999999999" hidden="1" customHeight="1" x14ac:dyDescent="0.3">
      <c r="A298" s="5">
        <v>2</v>
      </c>
      <c r="B298" s="6">
        <v>45582</v>
      </c>
      <c r="C298" s="7" t="s">
        <v>8</v>
      </c>
      <c r="D298" s="8" t="s">
        <v>14</v>
      </c>
      <c r="E298" s="7" t="s">
        <v>10</v>
      </c>
      <c r="F298" s="7" t="s">
        <v>11</v>
      </c>
      <c r="G298" s="63">
        <v>298.95999999999998</v>
      </c>
      <c r="H298" s="8" t="s">
        <v>12</v>
      </c>
    </row>
    <row r="299" spans="1:8" ht="17.399999999999999" hidden="1" customHeight="1" x14ac:dyDescent="0.3">
      <c r="A299" s="5">
        <v>2</v>
      </c>
      <c r="B299" s="6">
        <v>45565</v>
      </c>
      <c r="C299" s="7" t="s">
        <v>19</v>
      </c>
      <c r="D299" s="8" t="s">
        <v>20</v>
      </c>
      <c r="E299" s="7" t="s">
        <v>21</v>
      </c>
      <c r="F299" s="7" t="s">
        <v>11</v>
      </c>
      <c r="G299" s="63">
        <v>18.93</v>
      </c>
      <c r="H299" s="8" t="s">
        <v>12</v>
      </c>
    </row>
    <row r="300" spans="1:8" ht="17.399999999999999" hidden="1" customHeight="1" x14ac:dyDescent="0.3">
      <c r="A300" s="5">
        <v>2</v>
      </c>
      <c r="B300" s="6">
        <v>45565</v>
      </c>
      <c r="C300" s="7" t="s">
        <v>19</v>
      </c>
      <c r="D300" s="8" t="s">
        <v>22</v>
      </c>
      <c r="E300" s="7" t="s">
        <v>23</v>
      </c>
      <c r="F300" s="7" t="s">
        <v>11</v>
      </c>
      <c r="G300" s="63">
        <v>69.989999999999995</v>
      </c>
      <c r="H300" s="8" t="s">
        <v>12</v>
      </c>
    </row>
    <row r="301" spans="1:8" ht="17.399999999999999" hidden="1" customHeight="1" x14ac:dyDescent="0.3">
      <c r="A301" s="5">
        <v>2</v>
      </c>
      <c r="B301" s="6">
        <v>45565</v>
      </c>
      <c r="C301" s="7" t="s">
        <v>19</v>
      </c>
      <c r="D301" s="8" t="s">
        <v>26</v>
      </c>
      <c r="E301" s="7" t="s">
        <v>27</v>
      </c>
      <c r="F301" s="7" t="s">
        <v>11</v>
      </c>
      <c r="G301" s="63">
        <v>177.23000000000002</v>
      </c>
      <c r="H301" s="8" t="s">
        <v>12</v>
      </c>
    </row>
    <row r="302" spans="1:8" ht="17.399999999999999" hidden="1" customHeight="1" x14ac:dyDescent="0.3">
      <c r="A302" s="5">
        <v>2</v>
      </c>
      <c r="B302" s="6">
        <v>45565</v>
      </c>
      <c r="C302" s="7" t="s">
        <v>19</v>
      </c>
      <c r="D302" s="8" t="s">
        <v>28</v>
      </c>
      <c r="E302" s="7" t="s">
        <v>29</v>
      </c>
      <c r="F302" s="7" t="s">
        <v>11</v>
      </c>
      <c r="G302" s="63">
        <v>274</v>
      </c>
      <c r="H302" s="8" t="s">
        <v>12</v>
      </c>
    </row>
    <row r="303" spans="1:8" ht="17.399999999999999" hidden="1" customHeight="1" x14ac:dyDescent="0.3">
      <c r="A303" s="5">
        <v>2</v>
      </c>
      <c r="B303" s="6">
        <v>45565</v>
      </c>
      <c r="C303" s="7" t="s">
        <v>19</v>
      </c>
      <c r="D303" s="8" t="s">
        <v>30</v>
      </c>
      <c r="E303" s="7" t="s">
        <v>31</v>
      </c>
      <c r="F303" s="7" t="s">
        <v>11</v>
      </c>
      <c r="G303" s="63">
        <v>91.06</v>
      </c>
      <c r="H303" s="8" t="s">
        <v>12</v>
      </c>
    </row>
    <row r="304" spans="1:8" ht="17.399999999999999" hidden="1" customHeight="1" x14ac:dyDescent="0.3">
      <c r="A304" s="5">
        <v>2</v>
      </c>
      <c r="B304" s="6">
        <v>45565</v>
      </c>
      <c r="C304" s="7" t="s">
        <v>19</v>
      </c>
      <c r="D304" s="8" t="s">
        <v>35</v>
      </c>
      <c r="E304" s="7" t="s">
        <v>36</v>
      </c>
      <c r="F304" s="7" t="s">
        <v>11</v>
      </c>
      <c r="G304" s="63">
        <v>172.09</v>
      </c>
      <c r="H304" s="8" t="s">
        <v>12</v>
      </c>
    </row>
    <row r="305" spans="1:8" ht="17.399999999999999" hidden="1" customHeight="1" x14ac:dyDescent="0.3">
      <c r="A305" s="5">
        <v>2</v>
      </c>
      <c r="B305" s="6">
        <v>45565</v>
      </c>
      <c r="C305" s="7" t="s">
        <v>19</v>
      </c>
      <c r="D305" s="8" t="s">
        <v>39</v>
      </c>
      <c r="E305" s="7" t="s">
        <v>40</v>
      </c>
      <c r="F305" s="7" t="s">
        <v>11</v>
      </c>
      <c r="G305" s="63">
        <v>72.47</v>
      </c>
      <c r="H305" s="8" t="s">
        <v>12</v>
      </c>
    </row>
    <row r="306" spans="1:8" ht="17.399999999999999" hidden="1" customHeight="1" x14ac:dyDescent="0.3">
      <c r="A306" s="5">
        <v>2</v>
      </c>
      <c r="B306" s="6">
        <v>45565</v>
      </c>
      <c r="C306" s="7" t="s">
        <v>19</v>
      </c>
      <c r="D306" s="8" t="s">
        <v>37</v>
      </c>
      <c r="E306" s="7" t="s">
        <v>38</v>
      </c>
      <c r="F306" s="7" t="s">
        <v>33</v>
      </c>
      <c r="G306" s="63">
        <v>1023.8</v>
      </c>
      <c r="H306" s="8" t="s">
        <v>12</v>
      </c>
    </row>
    <row r="307" spans="1:8" ht="17.399999999999999" hidden="1" customHeight="1" x14ac:dyDescent="0.3">
      <c r="A307" s="5">
        <v>2</v>
      </c>
      <c r="B307" s="6">
        <v>45565</v>
      </c>
      <c r="C307" s="7" t="s">
        <v>19</v>
      </c>
      <c r="D307" s="8" t="s">
        <v>44</v>
      </c>
      <c r="E307" s="7" t="s">
        <v>45</v>
      </c>
      <c r="F307" s="7" t="s">
        <v>11</v>
      </c>
      <c r="G307" s="63">
        <v>29.87</v>
      </c>
      <c r="H307" s="8" t="s">
        <v>12</v>
      </c>
    </row>
    <row r="308" spans="1:8" ht="17.399999999999999" hidden="1" customHeight="1" x14ac:dyDescent="0.3">
      <c r="A308" s="5">
        <v>2</v>
      </c>
      <c r="B308" s="6">
        <v>45565</v>
      </c>
      <c r="C308" s="7" t="s">
        <v>19</v>
      </c>
      <c r="D308" s="8" t="s">
        <v>47</v>
      </c>
      <c r="E308" s="7" t="s">
        <v>48</v>
      </c>
      <c r="F308" s="7" t="s">
        <v>11</v>
      </c>
      <c r="G308" s="63">
        <v>138.78</v>
      </c>
      <c r="H308" s="8" t="s">
        <v>12</v>
      </c>
    </row>
    <row r="309" spans="1:8" ht="17.399999999999999" hidden="1" customHeight="1" x14ac:dyDescent="0.3">
      <c r="A309" s="5">
        <v>2</v>
      </c>
      <c r="B309" s="6">
        <v>45561</v>
      </c>
      <c r="C309" s="7" t="s">
        <v>8</v>
      </c>
      <c r="D309" s="8" t="s">
        <v>32</v>
      </c>
      <c r="E309" s="7" t="s">
        <v>10</v>
      </c>
      <c r="F309" s="7" t="s">
        <v>33</v>
      </c>
      <c r="G309" s="63">
        <v>576.5</v>
      </c>
      <c r="H309" s="8" t="s">
        <v>12</v>
      </c>
    </row>
    <row r="310" spans="1:8" ht="17.399999999999999" hidden="1" customHeight="1" x14ac:dyDescent="0.3">
      <c r="A310" s="5">
        <v>2</v>
      </c>
      <c r="B310" s="6">
        <v>45542</v>
      </c>
      <c r="C310" s="7" t="s">
        <v>8</v>
      </c>
      <c r="D310" s="8" t="s">
        <v>32</v>
      </c>
      <c r="E310" s="7" t="s">
        <v>10</v>
      </c>
      <c r="F310" s="7" t="s">
        <v>33</v>
      </c>
      <c r="G310" s="63">
        <v>400</v>
      </c>
      <c r="H310" s="8" t="s">
        <v>12</v>
      </c>
    </row>
    <row r="311" spans="1:8" ht="17.399999999999999" hidden="1" customHeight="1" x14ac:dyDescent="0.3">
      <c r="A311" s="5">
        <v>2</v>
      </c>
      <c r="B311" s="6">
        <v>45537</v>
      </c>
      <c r="C311" s="7" t="s">
        <v>8</v>
      </c>
      <c r="D311" s="8" t="s">
        <v>32</v>
      </c>
      <c r="E311" s="7" t="s">
        <v>10</v>
      </c>
      <c r="F311" s="7" t="s">
        <v>33</v>
      </c>
      <c r="G311" s="63">
        <v>274</v>
      </c>
      <c r="H311" s="8" t="s">
        <v>12</v>
      </c>
    </row>
    <row r="312" spans="1:8" ht="17.399999999999999" hidden="1" customHeight="1" x14ac:dyDescent="0.3">
      <c r="A312" s="5">
        <v>2</v>
      </c>
      <c r="B312" s="6">
        <v>45535</v>
      </c>
      <c r="C312" s="7" t="s">
        <v>19</v>
      </c>
      <c r="D312" s="8" t="s">
        <v>20</v>
      </c>
      <c r="E312" s="7" t="s">
        <v>21</v>
      </c>
      <c r="F312" s="7" t="s">
        <v>11</v>
      </c>
      <c r="G312" s="63">
        <v>3.76</v>
      </c>
      <c r="H312" s="8" t="s">
        <v>12</v>
      </c>
    </row>
    <row r="313" spans="1:8" ht="17.399999999999999" hidden="1" customHeight="1" x14ac:dyDescent="0.3">
      <c r="A313" s="5">
        <v>2</v>
      </c>
      <c r="B313" s="6">
        <v>45535</v>
      </c>
      <c r="C313" s="7" t="s">
        <v>19</v>
      </c>
      <c r="D313" s="8" t="s">
        <v>22</v>
      </c>
      <c r="E313" s="7" t="s">
        <v>23</v>
      </c>
      <c r="F313" s="7" t="s">
        <v>11</v>
      </c>
      <c r="G313" s="63">
        <v>96.72</v>
      </c>
      <c r="H313" s="8" t="s">
        <v>12</v>
      </c>
    </row>
    <row r="314" spans="1:8" ht="17.399999999999999" hidden="1" customHeight="1" x14ac:dyDescent="0.3">
      <c r="A314" s="5">
        <v>2</v>
      </c>
      <c r="B314" s="6">
        <v>45535</v>
      </c>
      <c r="C314" s="7" t="s">
        <v>19</v>
      </c>
      <c r="D314" s="8" t="s">
        <v>26</v>
      </c>
      <c r="E314" s="7" t="s">
        <v>27</v>
      </c>
      <c r="F314" s="7" t="s">
        <v>11</v>
      </c>
      <c r="G314" s="63">
        <v>167.96</v>
      </c>
      <c r="H314" s="8" t="s">
        <v>12</v>
      </c>
    </row>
    <row r="315" spans="1:8" ht="17.399999999999999" hidden="1" customHeight="1" x14ac:dyDescent="0.3">
      <c r="A315" s="5">
        <v>2</v>
      </c>
      <c r="B315" s="6">
        <v>45535</v>
      </c>
      <c r="C315" s="7" t="s">
        <v>19</v>
      </c>
      <c r="D315" s="8" t="s">
        <v>28</v>
      </c>
      <c r="E315" s="7" t="s">
        <v>29</v>
      </c>
      <c r="F315" s="7" t="s">
        <v>11</v>
      </c>
      <c r="G315" s="63">
        <v>334.59999999999997</v>
      </c>
      <c r="H315" s="8" t="s">
        <v>12</v>
      </c>
    </row>
    <row r="316" spans="1:8" ht="17.399999999999999" hidden="1" customHeight="1" x14ac:dyDescent="0.3">
      <c r="A316" s="5">
        <v>2</v>
      </c>
      <c r="B316" s="6">
        <v>45535</v>
      </c>
      <c r="C316" s="7" t="s">
        <v>19</v>
      </c>
      <c r="D316" s="8" t="s">
        <v>30</v>
      </c>
      <c r="E316" s="7" t="s">
        <v>31</v>
      </c>
      <c r="F316" s="7" t="s">
        <v>11</v>
      </c>
      <c r="G316" s="63">
        <v>66</v>
      </c>
      <c r="H316" s="8" t="s">
        <v>12</v>
      </c>
    </row>
    <row r="317" spans="1:8" ht="17.399999999999999" hidden="1" customHeight="1" x14ac:dyDescent="0.3">
      <c r="A317" s="5">
        <v>2</v>
      </c>
      <c r="B317" s="6">
        <v>45535</v>
      </c>
      <c r="C317" s="7" t="s">
        <v>19</v>
      </c>
      <c r="D317" s="8" t="s">
        <v>35</v>
      </c>
      <c r="E317" s="7" t="s">
        <v>36</v>
      </c>
      <c r="F317" s="7" t="s">
        <v>11</v>
      </c>
      <c r="G317" s="63">
        <v>179.18</v>
      </c>
      <c r="H317" s="8" t="s">
        <v>12</v>
      </c>
    </row>
    <row r="318" spans="1:8" ht="17.399999999999999" hidden="1" customHeight="1" x14ac:dyDescent="0.3">
      <c r="A318" s="5">
        <v>2</v>
      </c>
      <c r="B318" s="6">
        <v>45535</v>
      </c>
      <c r="C318" s="7" t="s">
        <v>19</v>
      </c>
      <c r="D318" s="8" t="s">
        <v>39</v>
      </c>
      <c r="E318" s="7" t="s">
        <v>40</v>
      </c>
      <c r="F318" s="7" t="s">
        <v>11</v>
      </c>
      <c r="G318" s="63">
        <v>28.869999999999997</v>
      </c>
      <c r="H318" s="8" t="s">
        <v>12</v>
      </c>
    </row>
    <row r="319" spans="1:8" ht="17.399999999999999" hidden="1" customHeight="1" x14ac:dyDescent="0.3">
      <c r="A319" s="5">
        <v>2</v>
      </c>
      <c r="B319" s="6">
        <v>45535</v>
      </c>
      <c r="C319" s="7" t="s">
        <v>19</v>
      </c>
      <c r="D319" s="8" t="s">
        <v>41</v>
      </c>
      <c r="E319" s="7" t="s">
        <v>42</v>
      </c>
      <c r="F319" s="7" t="s">
        <v>11</v>
      </c>
      <c r="G319" s="63">
        <v>22.11</v>
      </c>
      <c r="H319" s="8" t="s">
        <v>12</v>
      </c>
    </row>
    <row r="320" spans="1:8" ht="17.399999999999999" hidden="1" customHeight="1" x14ac:dyDescent="0.3">
      <c r="A320" s="5">
        <v>2</v>
      </c>
      <c r="B320" s="6">
        <v>45535</v>
      </c>
      <c r="C320" s="7" t="s">
        <v>19</v>
      </c>
      <c r="D320" s="8" t="s">
        <v>47</v>
      </c>
      <c r="E320" s="7" t="s">
        <v>48</v>
      </c>
      <c r="F320" s="7" t="s">
        <v>11</v>
      </c>
      <c r="G320" s="63">
        <v>136.65</v>
      </c>
      <c r="H320" s="8" t="s">
        <v>12</v>
      </c>
    </row>
    <row r="321" spans="1:8" ht="17.399999999999999" hidden="1" customHeight="1" x14ac:dyDescent="0.3">
      <c r="A321" s="5">
        <v>2</v>
      </c>
      <c r="B321" s="6">
        <v>45534</v>
      </c>
      <c r="C321" s="7" t="s">
        <v>8</v>
      </c>
      <c r="D321" s="8" t="s">
        <v>32</v>
      </c>
      <c r="E321" s="7" t="s">
        <v>10</v>
      </c>
      <c r="F321" s="7" t="s">
        <v>33</v>
      </c>
      <c r="G321" s="63">
        <v>236.85</v>
      </c>
      <c r="H321" s="8" t="s">
        <v>12</v>
      </c>
    </row>
    <row r="322" spans="1:8" ht="17.399999999999999" hidden="1" customHeight="1" x14ac:dyDescent="0.3">
      <c r="A322" s="5">
        <v>2</v>
      </c>
      <c r="B322" s="6">
        <v>45533</v>
      </c>
      <c r="C322" s="7" t="s">
        <v>8</v>
      </c>
      <c r="D322" s="8" t="s">
        <v>32</v>
      </c>
      <c r="E322" s="7" t="s">
        <v>10</v>
      </c>
      <c r="F322" s="7" t="s">
        <v>33</v>
      </c>
      <c r="G322" s="63">
        <v>70</v>
      </c>
      <c r="H322" s="8" t="s">
        <v>12</v>
      </c>
    </row>
    <row r="323" spans="1:8" ht="17.399999999999999" hidden="1" customHeight="1" x14ac:dyDescent="0.3">
      <c r="A323" s="5">
        <v>2</v>
      </c>
      <c r="B323" s="6">
        <v>45530</v>
      </c>
      <c r="C323" s="7" t="s">
        <v>8</v>
      </c>
      <c r="D323" s="8" t="s">
        <v>32</v>
      </c>
      <c r="E323" s="7" t="s">
        <v>10</v>
      </c>
      <c r="F323" s="7" t="s">
        <v>33</v>
      </c>
      <c r="G323" s="63">
        <v>42.75</v>
      </c>
      <c r="H323" s="8" t="s">
        <v>12</v>
      </c>
    </row>
    <row r="324" spans="1:8" ht="17.399999999999999" hidden="1" customHeight="1" x14ac:dyDescent="0.3">
      <c r="A324" s="5">
        <v>2</v>
      </c>
      <c r="B324" s="6">
        <v>45508</v>
      </c>
      <c r="C324" s="7" t="s">
        <v>8</v>
      </c>
      <c r="D324" s="8" t="s">
        <v>43</v>
      </c>
      <c r="E324" s="7" t="s">
        <v>10</v>
      </c>
      <c r="F324" s="7" t="s">
        <v>11</v>
      </c>
      <c r="G324" s="63">
        <v>300</v>
      </c>
      <c r="H324" s="8" t="s">
        <v>12</v>
      </c>
    </row>
    <row r="325" spans="1:8" ht="17.399999999999999" hidden="1" customHeight="1" x14ac:dyDescent="0.3">
      <c r="A325" s="5">
        <v>2</v>
      </c>
      <c r="B325" s="6">
        <v>45504</v>
      </c>
      <c r="C325" s="7" t="s">
        <v>19</v>
      </c>
      <c r="D325" s="8" t="s">
        <v>20</v>
      </c>
      <c r="E325" s="7" t="s">
        <v>21</v>
      </c>
      <c r="F325" s="7" t="s">
        <v>11</v>
      </c>
      <c r="G325" s="63">
        <v>15.950000000000001</v>
      </c>
      <c r="H325" s="8" t="s">
        <v>12</v>
      </c>
    </row>
    <row r="326" spans="1:8" ht="17.399999999999999" hidden="1" customHeight="1" x14ac:dyDescent="0.3">
      <c r="A326" s="5">
        <v>2</v>
      </c>
      <c r="B326" s="6">
        <v>45504</v>
      </c>
      <c r="C326" s="7" t="s">
        <v>19</v>
      </c>
      <c r="D326" s="8" t="s">
        <v>22</v>
      </c>
      <c r="E326" s="7" t="s">
        <v>23</v>
      </c>
      <c r="F326" s="7" t="s">
        <v>11</v>
      </c>
      <c r="G326" s="63">
        <v>39.93</v>
      </c>
      <c r="H326" s="8" t="s">
        <v>12</v>
      </c>
    </row>
    <row r="327" spans="1:8" ht="17.399999999999999" hidden="1" customHeight="1" x14ac:dyDescent="0.3">
      <c r="A327" s="5">
        <v>2</v>
      </c>
      <c r="B327" s="6">
        <v>45504</v>
      </c>
      <c r="C327" s="7" t="s">
        <v>19</v>
      </c>
      <c r="D327" s="8" t="s">
        <v>26</v>
      </c>
      <c r="E327" s="7" t="s">
        <v>27</v>
      </c>
      <c r="F327" s="7" t="s">
        <v>11</v>
      </c>
      <c r="G327" s="63">
        <v>146.97999999999999</v>
      </c>
      <c r="H327" s="8" t="s">
        <v>12</v>
      </c>
    </row>
    <row r="328" spans="1:8" ht="17.399999999999999" hidden="1" customHeight="1" x14ac:dyDescent="0.3">
      <c r="A328" s="5">
        <v>2</v>
      </c>
      <c r="B328" s="6">
        <v>45504</v>
      </c>
      <c r="C328" s="7" t="s">
        <v>19</v>
      </c>
      <c r="D328" s="8" t="s">
        <v>28</v>
      </c>
      <c r="E328" s="7" t="s">
        <v>29</v>
      </c>
      <c r="F328" s="7" t="s">
        <v>11</v>
      </c>
      <c r="G328" s="63">
        <v>286.69</v>
      </c>
      <c r="H328" s="8" t="s">
        <v>12</v>
      </c>
    </row>
    <row r="329" spans="1:8" ht="17.399999999999999" hidden="1" customHeight="1" x14ac:dyDescent="0.3">
      <c r="A329" s="5">
        <v>2</v>
      </c>
      <c r="B329" s="6">
        <v>45504</v>
      </c>
      <c r="C329" s="7" t="s">
        <v>19</v>
      </c>
      <c r="D329" s="8" t="s">
        <v>30</v>
      </c>
      <c r="E329" s="7" t="s">
        <v>31</v>
      </c>
      <c r="F329" s="7" t="s">
        <v>11</v>
      </c>
      <c r="G329" s="63">
        <v>50</v>
      </c>
      <c r="H329" s="8" t="s">
        <v>12</v>
      </c>
    </row>
    <row r="330" spans="1:8" ht="17.399999999999999" hidden="1" customHeight="1" x14ac:dyDescent="0.3">
      <c r="A330" s="5">
        <v>2</v>
      </c>
      <c r="B330" s="6">
        <v>45504</v>
      </c>
      <c r="C330" s="7" t="s">
        <v>19</v>
      </c>
      <c r="D330" s="8" t="s">
        <v>35</v>
      </c>
      <c r="E330" s="7" t="s">
        <v>36</v>
      </c>
      <c r="F330" s="7" t="s">
        <v>11</v>
      </c>
      <c r="G330" s="63">
        <v>36.75</v>
      </c>
      <c r="H330" s="8" t="s">
        <v>12</v>
      </c>
    </row>
    <row r="331" spans="1:8" ht="17.399999999999999" hidden="1" customHeight="1" x14ac:dyDescent="0.3">
      <c r="A331" s="5">
        <v>2</v>
      </c>
      <c r="B331" s="6">
        <v>45504</v>
      </c>
      <c r="C331" s="7" t="s">
        <v>19</v>
      </c>
      <c r="D331" s="8" t="s">
        <v>39</v>
      </c>
      <c r="E331" s="7" t="s">
        <v>40</v>
      </c>
      <c r="F331" s="7" t="s">
        <v>11</v>
      </c>
      <c r="G331" s="63">
        <v>267.67</v>
      </c>
      <c r="H331" s="8" t="s">
        <v>12</v>
      </c>
    </row>
    <row r="332" spans="1:8" ht="17.399999999999999" hidden="1" customHeight="1" x14ac:dyDescent="0.3">
      <c r="A332" s="5">
        <v>2</v>
      </c>
      <c r="B332" s="6">
        <v>45504</v>
      </c>
      <c r="C332" s="7" t="s">
        <v>19</v>
      </c>
      <c r="D332" s="8" t="s">
        <v>41</v>
      </c>
      <c r="E332" s="7" t="s">
        <v>42</v>
      </c>
      <c r="F332" s="7" t="s">
        <v>11</v>
      </c>
      <c r="G332" s="63">
        <v>41.910000000000004</v>
      </c>
      <c r="H332" s="8" t="s">
        <v>12</v>
      </c>
    </row>
    <row r="333" spans="1:8" ht="17.399999999999999" hidden="1" customHeight="1" x14ac:dyDescent="0.3">
      <c r="A333" s="5">
        <v>2</v>
      </c>
      <c r="B333" s="6">
        <v>45504</v>
      </c>
      <c r="C333" s="7" t="s">
        <v>19</v>
      </c>
      <c r="D333" s="8" t="s">
        <v>47</v>
      </c>
      <c r="E333" s="7" t="s">
        <v>48</v>
      </c>
      <c r="F333" s="7" t="s">
        <v>11</v>
      </c>
      <c r="G333" s="63">
        <v>22.75</v>
      </c>
      <c r="H333" s="8" t="s">
        <v>12</v>
      </c>
    </row>
    <row r="334" spans="1:8" ht="17.399999999999999" hidden="1" customHeight="1" x14ac:dyDescent="0.3">
      <c r="A334" s="5">
        <v>2</v>
      </c>
      <c r="B334" s="6">
        <v>45503</v>
      </c>
      <c r="C334" s="7" t="s">
        <v>8</v>
      </c>
      <c r="D334" s="8" t="s">
        <v>32</v>
      </c>
      <c r="E334" s="7" t="s">
        <v>10</v>
      </c>
      <c r="F334" s="7" t="s">
        <v>33</v>
      </c>
      <c r="G334" s="63">
        <v>678.98</v>
      </c>
      <c r="H334" s="8" t="s">
        <v>12</v>
      </c>
    </row>
    <row r="335" spans="1:8" ht="17.399999999999999" hidden="1" customHeight="1" x14ac:dyDescent="0.3">
      <c r="A335" s="5">
        <v>2</v>
      </c>
      <c r="B335" s="6">
        <v>45499</v>
      </c>
      <c r="C335" s="7" t="s">
        <v>8</v>
      </c>
      <c r="D335" s="8" t="s">
        <v>32</v>
      </c>
      <c r="E335" s="7" t="s">
        <v>10</v>
      </c>
      <c r="F335" s="7" t="s">
        <v>33</v>
      </c>
      <c r="G335" s="63">
        <v>479.53</v>
      </c>
      <c r="H335" s="8" t="s">
        <v>12</v>
      </c>
    </row>
    <row r="336" spans="1:8" ht="17.399999999999999" hidden="1" customHeight="1" x14ac:dyDescent="0.3">
      <c r="A336" s="5">
        <v>2</v>
      </c>
      <c r="B336" s="6">
        <v>45496</v>
      </c>
      <c r="C336" s="7" t="s">
        <v>8</v>
      </c>
      <c r="D336" s="8" t="s">
        <v>49</v>
      </c>
      <c r="E336" s="7" t="s">
        <v>10</v>
      </c>
      <c r="F336" s="7" t="s">
        <v>11</v>
      </c>
      <c r="G336" s="63">
        <v>100</v>
      </c>
      <c r="H336" s="8" t="s">
        <v>12</v>
      </c>
    </row>
    <row r="337" spans="1:8" ht="17.399999999999999" hidden="1" customHeight="1" x14ac:dyDescent="0.3">
      <c r="A337" s="5">
        <v>2</v>
      </c>
      <c r="B337" s="6">
        <v>45476</v>
      </c>
      <c r="C337" s="7" t="s">
        <v>8</v>
      </c>
      <c r="D337" s="8" t="s">
        <v>32</v>
      </c>
      <c r="E337" s="7" t="s">
        <v>10</v>
      </c>
      <c r="F337" s="7" t="s">
        <v>33</v>
      </c>
      <c r="G337" s="63">
        <v>40</v>
      </c>
      <c r="H337" s="8" t="s">
        <v>12</v>
      </c>
    </row>
    <row r="338" spans="1:8" ht="17.399999999999999" hidden="1" customHeight="1" x14ac:dyDescent="0.3">
      <c r="A338" s="5">
        <v>2</v>
      </c>
      <c r="B338" s="6">
        <v>45472</v>
      </c>
      <c r="C338" s="7" t="s">
        <v>8</v>
      </c>
      <c r="D338" s="8" t="s">
        <v>32</v>
      </c>
      <c r="E338" s="7" t="s">
        <v>10</v>
      </c>
      <c r="F338" s="7" t="s">
        <v>33</v>
      </c>
      <c r="G338" s="63">
        <v>98.4</v>
      </c>
      <c r="H338" s="8" t="s">
        <v>12</v>
      </c>
    </row>
    <row r="339" spans="1:8" ht="17.399999999999999" hidden="1" customHeight="1" x14ac:dyDescent="0.3">
      <c r="A339" s="5">
        <v>2</v>
      </c>
      <c r="B339" s="6">
        <v>45468</v>
      </c>
      <c r="C339" s="7" t="s">
        <v>8</v>
      </c>
      <c r="D339" s="8" t="s">
        <v>32</v>
      </c>
      <c r="E339" s="7" t="s">
        <v>10</v>
      </c>
      <c r="F339" s="7" t="s">
        <v>33</v>
      </c>
      <c r="G339" s="63">
        <v>127.21</v>
      </c>
      <c r="H339" s="8" t="s">
        <v>12</v>
      </c>
    </row>
    <row r="340" spans="1:8" ht="17.399999999999999" hidden="1" customHeight="1" x14ac:dyDescent="0.3">
      <c r="A340" s="5">
        <v>2</v>
      </c>
      <c r="B340" s="6">
        <v>45462</v>
      </c>
      <c r="C340" s="7" t="s">
        <v>8</v>
      </c>
      <c r="D340" s="8" t="s">
        <v>32</v>
      </c>
      <c r="E340" s="7" t="s">
        <v>10</v>
      </c>
      <c r="F340" s="7" t="s">
        <v>33</v>
      </c>
      <c r="G340" s="63">
        <v>168.64</v>
      </c>
      <c r="H340" s="8" t="s">
        <v>12</v>
      </c>
    </row>
    <row r="341" spans="1:8" ht="17.399999999999999" hidden="1" customHeight="1" x14ac:dyDescent="0.3">
      <c r="A341" s="5">
        <v>2</v>
      </c>
      <c r="B341" s="6">
        <v>45460</v>
      </c>
      <c r="C341" s="7" t="s">
        <v>8</v>
      </c>
      <c r="D341" s="8" t="s">
        <v>32</v>
      </c>
      <c r="E341" s="7" t="s">
        <v>10</v>
      </c>
      <c r="F341" s="7" t="s">
        <v>33</v>
      </c>
      <c r="G341" s="63">
        <v>168.91</v>
      </c>
      <c r="H341" s="8" t="s">
        <v>12</v>
      </c>
    </row>
    <row r="342" spans="1:8" ht="17.399999999999999" hidden="1" customHeight="1" x14ac:dyDescent="0.3">
      <c r="A342" s="5">
        <v>2</v>
      </c>
      <c r="B342" s="6">
        <v>45459</v>
      </c>
      <c r="C342" s="7" t="s">
        <v>8</v>
      </c>
      <c r="D342" s="8" t="s">
        <v>32</v>
      </c>
      <c r="E342" s="7" t="s">
        <v>10</v>
      </c>
      <c r="F342" s="7" t="s">
        <v>33</v>
      </c>
      <c r="G342" s="63">
        <v>170.79</v>
      </c>
      <c r="H342" s="8" t="s">
        <v>12</v>
      </c>
    </row>
    <row r="343" spans="1:8" ht="17.399999999999999" hidden="1" customHeight="1" x14ac:dyDescent="0.3">
      <c r="A343" s="5">
        <v>2</v>
      </c>
      <c r="B343" s="6">
        <v>45458</v>
      </c>
      <c r="C343" s="7" t="s">
        <v>8</v>
      </c>
      <c r="D343" s="8" t="s">
        <v>43</v>
      </c>
      <c r="E343" s="7" t="s">
        <v>10</v>
      </c>
      <c r="F343" s="7" t="s">
        <v>11</v>
      </c>
      <c r="G343" s="63">
        <v>303.49</v>
      </c>
      <c r="H343" s="8" t="s">
        <v>12</v>
      </c>
    </row>
    <row r="344" spans="1:8" ht="17.399999999999999" hidden="1" customHeight="1" x14ac:dyDescent="0.3">
      <c r="A344" s="5">
        <v>2</v>
      </c>
      <c r="B344" s="6">
        <v>45454</v>
      </c>
      <c r="C344" s="7" t="s">
        <v>8</v>
      </c>
      <c r="D344" s="8" t="s">
        <v>32</v>
      </c>
      <c r="E344" s="7" t="s">
        <v>10</v>
      </c>
      <c r="F344" s="7" t="s">
        <v>33</v>
      </c>
      <c r="G344" s="63">
        <v>343.05</v>
      </c>
      <c r="H344" s="8" t="s">
        <v>12</v>
      </c>
    </row>
    <row r="345" spans="1:8" ht="17.399999999999999" hidden="1" customHeight="1" x14ac:dyDescent="0.3">
      <c r="A345" s="5">
        <v>2</v>
      </c>
      <c r="B345" s="6">
        <v>45450</v>
      </c>
      <c r="C345" s="7" t="s">
        <v>8</v>
      </c>
      <c r="D345" s="8" t="s">
        <v>32</v>
      </c>
      <c r="E345" s="7" t="s">
        <v>10</v>
      </c>
      <c r="F345" s="7" t="s">
        <v>33</v>
      </c>
      <c r="G345" s="63">
        <v>340.23</v>
      </c>
      <c r="H345" s="8" t="s">
        <v>12</v>
      </c>
    </row>
    <row r="346" spans="1:8" ht="17.399999999999999" hidden="1" customHeight="1" x14ac:dyDescent="0.3">
      <c r="A346" s="5">
        <v>2</v>
      </c>
      <c r="B346" s="6">
        <v>45425</v>
      </c>
      <c r="C346" s="7" t="s">
        <v>8</v>
      </c>
      <c r="D346" s="8" t="s">
        <v>9</v>
      </c>
      <c r="E346" s="7" t="s">
        <v>10</v>
      </c>
      <c r="F346" s="7" t="s">
        <v>11</v>
      </c>
      <c r="G346" s="63">
        <v>822</v>
      </c>
      <c r="H346" s="8" t="s">
        <v>12</v>
      </c>
    </row>
    <row r="347" spans="1:8" ht="17.399999999999999" hidden="1" customHeight="1" x14ac:dyDescent="0.3">
      <c r="A347" s="5">
        <v>2</v>
      </c>
      <c r="B347" s="6">
        <v>45419</v>
      </c>
      <c r="C347" s="7" t="s">
        <v>8</v>
      </c>
      <c r="D347" s="8" t="s">
        <v>32</v>
      </c>
      <c r="E347" s="7" t="s">
        <v>10</v>
      </c>
      <c r="F347" s="7" t="s">
        <v>33</v>
      </c>
      <c r="G347" s="63">
        <v>530.36</v>
      </c>
      <c r="H347" s="8" t="s">
        <v>12</v>
      </c>
    </row>
    <row r="348" spans="1:8" ht="17.399999999999999" hidden="1" customHeight="1" x14ac:dyDescent="0.3">
      <c r="A348" s="5">
        <v>2</v>
      </c>
      <c r="B348" s="6">
        <v>45418</v>
      </c>
      <c r="C348" s="7" t="s">
        <v>8</v>
      </c>
      <c r="D348" s="8" t="s">
        <v>32</v>
      </c>
      <c r="E348" s="7" t="s">
        <v>10</v>
      </c>
      <c r="F348" s="7" t="s">
        <v>33</v>
      </c>
      <c r="G348" s="63">
        <v>360.94</v>
      </c>
      <c r="H348" s="8" t="s">
        <v>12</v>
      </c>
    </row>
    <row r="349" spans="1:8" ht="17.399999999999999" hidden="1" customHeight="1" x14ac:dyDescent="0.3">
      <c r="A349" s="5">
        <v>2</v>
      </c>
      <c r="B349" s="6">
        <v>45402</v>
      </c>
      <c r="C349" s="7" t="s">
        <v>8</v>
      </c>
      <c r="D349" s="8" t="s">
        <v>32</v>
      </c>
      <c r="E349" s="7" t="s">
        <v>10</v>
      </c>
      <c r="F349" s="7" t="s">
        <v>33</v>
      </c>
      <c r="G349" s="63">
        <v>58.48</v>
      </c>
      <c r="H349" s="8" t="s">
        <v>12</v>
      </c>
    </row>
    <row r="350" spans="1:8" ht="17.399999999999999" hidden="1" customHeight="1" x14ac:dyDescent="0.3">
      <c r="A350" s="5">
        <v>2</v>
      </c>
      <c r="B350" s="6">
        <v>45402</v>
      </c>
      <c r="C350" s="7" t="s">
        <v>8</v>
      </c>
      <c r="D350" s="8" t="s">
        <v>46</v>
      </c>
      <c r="E350" s="7" t="s">
        <v>10</v>
      </c>
      <c r="F350" s="7" t="s">
        <v>11</v>
      </c>
      <c r="G350" s="63">
        <v>54.9</v>
      </c>
      <c r="H350" s="8" t="s">
        <v>12</v>
      </c>
    </row>
    <row r="351" spans="1:8" ht="17.399999999999999" hidden="1" customHeight="1" x14ac:dyDescent="0.3">
      <c r="A351" s="12"/>
      <c r="B351" s="21"/>
      <c r="C351" s="7"/>
      <c r="D351" s="7"/>
      <c r="E351" s="7"/>
      <c r="F351" s="7"/>
      <c r="G351" s="64"/>
      <c r="H351" s="8"/>
    </row>
    <row r="352" spans="1:8" ht="17.399999999999999" customHeight="1" x14ac:dyDescent="0.3"/>
    <row r="353" ht="17.399999999999999" customHeight="1" x14ac:dyDescent="0.3"/>
    <row r="354" ht="17.399999999999999" customHeight="1" x14ac:dyDescent="0.3"/>
    <row r="355" ht="17.399999999999999" customHeight="1" x14ac:dyDescent="0.3"/>
    <row r="356" ht="17.399999999999999" customHeight="1" x14ac:dyDescent="0.3"/>
    <row r="357" ht="17.399999999999999" customHeight="1" x14ac:dyDescent="0.3"/>
    <row r="358" ht="17.399999999999999" customHeight="1" x14ac:dyDescent="0.3"/>
    <row r="359" ht="17.399999999999999" customHeight="1" x14ac:dyDescent="0.3"/>
    <row r="360" ht="17.399999999999999" customHeight="1" x14ac:dyDescent="0.3"/>
    <row r="361" ht="17.399999999999999" customHeight="1" x14ac:dyDescent="0.3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83"/>
  <sheetViews>
    <sheetView workbookViewId="0">
      <selection activeCell="L144" sqref="L144"/>
    </sheetView>
  </sheetViews>
  <sheetFormatPr defaultRowHeight="14.4" x14ac:dyDescent="0.3"/>
  <cols>
    <col min="1" max="1" width="9.33203125" style="17" bestFit="1" customWidth="1"/>
    <col min="2" max="2" width="10.5546875" style="18" bestFit="1" customWidth="1"/>
    <col min="3" max="3" width="9.6640625" style="19" bestFit="1" customWidth="1"/>
    <col min="4" max="4" width="26.109375" style="19" customWidth="1"/>
    <col min="5" max="5" width="15.33203125" style="19" bestFit="1" customWidth="1"/>
    <col min="6" max="6" width="9.5546875" style="19" bestFit="1" customWidth="1"/>
    <col min="7" max="7" width="12.33203125" style="29" bestFit="1" customWidth="1"/>
    <col min="8" max="8" width="13.6640625" style="19" bestFit="1" customWidth="1"/>
    <col min="9" max="10" width="8.88671875" bestFit="1" customWidth="1"/>
    <col min="11" max="11" width="12.88671875" style="4" bestFit="1" customWidth="1"/>
    <col min="12" max="12" width="11.6640625" bestFit="1" customWidth="1"/>
    <col min="13" max="13" width="10.6640625" bestFit="1" customWidth="1"/>
    <col min="14" max="14" width="8.88671875" bestFit="1" customWidth="1"/>
    <col min="15" max="15" width="10.6640625" bestFit="1" customWidth="1"/>
  </cols>
  <sheetData>
    <row r="1" spans="1:13" ht="18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4" t="s">
        <v>6</v>
      </c>
      <c r="H1" s="3" t="s">
        <v>7</v>
      </c>
    </row>
    <row r="2" spans="1:13" ht="18.75" customHeight="1" x14ac:dyDescent="0.3">
      <c r="A2" s="5">
        <v>1</v>
      </c>
      <c r="B2" s="6">
        <v>45402</v>
      </c>
      <c r="C2" s="7" t="s">
        <v>8</v>
      </c>
      <c r="D2" s="8" t="s">
        <v>32</v>
      </c>
      <c r="E2" s="7" t="s">
        <v>10</v>
      </c>
      <c r="F2" s="7" t="s">
        <v>33</v>
      </c>
      <c r="G2" s="25">
        <v>58.48</v>
      </c>
      <c r="H2" s="8" t="s">
        <v>12</v>
      </c>
      <c r="J2" t="s">
        <v>13</v>
      </c>
      <c r="K2" s="60">
        <f>SUMIF(F2:F183,"Income",G2:G183)</f>
        <v>19051.819999999996</v>
      </c>
      <c r="L2" s="9"/>
    </row>
    <row r="3" spans="1:13" ht="18.75" customHeight="1" x14ac:dyDescent="0.3">
      <c r="A3" s="5">
        <v>1</v>
      </c>
      <c r="B3" s="6">
        <v>45402</v>
      </c>
      <c r="C3" s="7" t="s">
        <v>8</v>
      </c>
      <c r="D3" s="8" t="s">
        <v>46</v>
      </c>
      <c r="E3" s="7" t="s">
        <v>10</v>
      </c>
      <c r="F3" s="7" t="s">
        <v>11</v>
      </c>
      <c r="G3" s="25">
        <v>54.9</v>
      </c>
      <c r="H3" s="8" t="s">
        <v>12</v>
      </c>
      <c r="J3" t="s">
        <v>15</v>
      </c>
      <c r="K3" s="60">
        <f>SUMIF(F2:F183,"Expense",G2:G183)</f>
        <v>18511.390000000007</v>
      </c>
      <c r="L3" s="9"/>
    </row>
    <row r="4" spans="1:13" ht="18.75" customHeight="1" x14ac:dyDescent="0.3">
      <c r="A4" s="5">
        <v>1</v>
      </c>
      <c r="B4" s="6">
        <v>45418</v>
      </c>
      <c r="C4" s="7" t="s">
        <v>8</v>
      </c>
      <c r="D4" s="8" t="s">
        <v>32</v>
      </c>
      <c r="E4" s="7" t="s">
        <v>10</v>
      </c>
      <c r="F4" s="7" t="s">
        <v>33</v>
      </c>
      <c r="G4" s="25">
        <v>360.94</v>
      </c>
      <c r="H4" s="8" t="s">
        <v>12</v>
      </c>
      <c r="K4" s="61"/>
      <c r="L4" s="9"/>
    </row>
    <row r="5" spans="1:13" ht="18.75" customHeight="1" x14ac:dyDescent="0.3">
      <c r="A5" s="5">
        <v>1</v>
      </c>
      <c r="B5" s="6">
        <v>45419</v>
      </c>
      <c r="C5" s="7" t="s">
        <v>8</v>
      </c>
      <c r="D5" s="8" t="s">
        <v>32</v>
      </c>
      <c r="E5" s="7" t="s">
        <v>10</v>
      </c>
      <c r="F5" s="7" t="s">
        <v>33</v>
      </c>
      <c r="G5" s="25">
        <v>530.36</v>
      </c>
      <c r="H5" s="8" t="s">
        <v>12</v>
      </c>
      <c r="J5" t="s">
        <v>18</v>
      </c>
      <c r="K5" s="60">
        <f>K2-K3</f>
        <v>540.42999999998938</v>
      </c>
      <c r="L5" s="9"/>
    </row>
    <row r="6" spans="1:13" ht="18.75" customHeight="1" x14ac:dyDescent="0.3">
      <c r="A6" s="5">
        <v>1</v>
      </c>
      <c r="B6" s="6">
        <v>45425</v>
      </c>
      <c r="C6" s="7" t="s">
        <v>8</v>
      </c>
      <c r="D6" s="8" t="s">
        <v>9</v>
      </c>
      <c r="E6" s="7" t="s">
        <v>10</v>
      </c>
      <c r="F6" s="7" t="s">
        <v>11</v>
      </c>
      <c r="G6" s="25">
        <v>822</v>
      </c>
      <c r="H6" s="8" t="s">
        <v>12</v>
      </c>
      <c r="K6" s="10"/>
      <c r="L6" s="9"/>
    </row>
    <row r="7" spans="1:13" ht="18.75" customHeight="1" x14ac:dyDescent="0.3">
      <c r="A7" s="5">
        <v>1</v>
      </c>
      <c r="B7" s="6">
        <v>45450</v>
      </c>
      <c r="C7" s="7" t="s">
        <v>8</v>
      </c>
      <c r="D7" s="8" t="s">
        <v>32</v>
      </c>
      <c r="E7" s="7" t="s">
        <v>10</v>
      </c>
      <c r="F7" s="7" t="s">
        <v>33</v>
      </c>
      <c r="G7" s="25">
        <v>340.23</v>
      </c>
      <c r="H7" s="8" t="s">
        <v>12</v>
      </c>
      <c r="K7" s="10"/>
      <c r="L7" s="9"/>
    </row>
    <row r="8" spans="1:13" ht="18.75" customHeight="1" x14ac:dyDescent="0.3">
      <c r="A8" s="5">
        <v>1</v>
      </c>
      <c r="B8" s="6">
        <v>45454</v>
      </c>
      <c r="C8" s="7" t="s">
        <v>8</v>
      </c>
      <c r="D8" s="8" t="s">
        <v>32</v>
      </c>
      <c r="E8" s="7" t="s">
        <v>10</v>
      </c>
      <c r="F8" s="7" t="s">
        <v>33</v>
      </c>
      <c r="G8" s="25">
        <v>343.05</v>
      </c>
      <c r="H8" s="8" t="s">
        <v>12</v>
      </c>
      <c r="K8" s="10"/>
      <c r="L8" s="9"/>
    </row>
    <row r="9" spans="1:13" ht="18.75" customHeight="1" x14ac:dyDescent="0.3">
      <c r="A9" s="5">
        <v>1</v>
      </c>
      <c r="B9" s="6">
        <v>45458</v>
      </c>
      <c r="C9" s="7" t="s">
        <v>8</v>
      </c>
      <c r="D9" s="8" t="s">
        <v>43</v>
      </c>
      <c r="E9" s="7" t="s">
        <v>10</v>
      </c>
      <c r="F9" s="7" t="s">
        <v>11</v>
      </c>
      <c r="G9" s="25">
        <v>303.49</v>
      </c>
      <c r="H9" s="8" t="s">
        <v>12</v>
      </c>
      <c r="K9" s="10"/>
      <c r="L9" s="9"/>
    </row>
    <row r="10" spans="1:13" ht="18.75" customHeight="1" x14ac:dyDescent="0.3">
      <c r="A10" s="5">
        <v>1</v>
      </c>
      <c r="B10" s="6">
        <v>45459</v>
      </c>
      <c r="C10" s="7" t="s">
        <v>8</v>
      </c>
      <c r="D10" s="8" t="s">
        <v>32</v>
      </c>
      <c r="E10" s="7" t="s">
        <v>10</v>
      </c>
      <c r="F10" s="7" t="s">
        <v>33</v>
      </c>
      <c r="G10" s="25">
        <v>170.79</v>
      </c>
      <c r="H10" s="8" t="s">
        <v>12</v>
      </c>
      <c r="K10" s="10"/>
      <c r="L10" s="9"/>
    </row>
    <row r="11" spans="1:13" ht="18.75" customHeight="1" x14ac:dyDescent="0.3">
      <c r="A11" s="5">
        <v>1</v>
      </c>
      <c r="B11" s="6">
        <v>45460</v>
      </c>
      <c r="C11" s="7" t="s">
        <v>8</v>
      </c>
      <c r="D11" s="8" t="s">
        <v>32</v>
      </c>
      <c r="E11" s="7" t="s">
        <v>10</v>
      </c>
      <c r="F11" s="7" t="s">
        <v>33</v>
      </c>
      <c r="G11" s="25">
        <v>168.91</v>
      </c>
      <c r="H11" s="8" t="s">
        <v>12</v>
      </c>
      <c r="K11" s="10"/>
    </row>
    <row r="12" spans="1:13" ht="18.75" customHeight="1" x14ac:dyDescent="0.3">
      <c r="A12" s="5">
        <v>1</v>
      </c>
      <c r="B12" s="6">
        <v>45462</v>
      </c>
      <c r="C12" s="7" t="s">
        <v>8</v>
      </c>
      <c r="D12" s="8" t="s">
        <v>32</v>
      </c>
      <c r="E12" s="7" t="s">
        <v>10</v>
      </c>
      <c r="F12" s="7" t="s">
        <v>33</v>
      </c>
      <c r="G12" s="25">
        <v>168.64</v>
      </c>
      <c r="H12" s="8" t="s">
        <v>12</v>
      </c>
    </row>
    <row r="13" spans="1:13" ht="18.75" customHeight="1" x14ac:dyDescent="0.3">
      <c r="A13" s="5">
        <v>1</v>
      </c>
      <c r="B13" s="6">
        <v>45468</v>
      </c>
      <c r="C13" s="7" t="s">
        <v>8</v>
      </c>
      <c r="D13" s="8" t="s">
        <v>32</v>
      </c>
      <c r="E13" s="7" t="s">
        <v>10</v>
      </c>
      <c r="F13" s="7" t="s">
        <v>33</v>
      </c>
      <c r="G13" s="25">
        <v>127.21</v>
      </c>
      <c r="H13" s="8" t="s">
        <v>12</v>
      </c>
      <c r="M13" s="9"/>
    </row>
    <row r="14" spans="1:13" ht="18.75" customHeight="1" x14ac:dyDescent="0.3">
      <c r="A14" s="5">
        <v>1</v>
      </c>
      <c r="B14" s="6">
        <v>45472</v>
      </c>
      <c r="C14" s="7" t="s">
        <v>8</v>
      </c>
      <c r="D14" s="8" t="s">
        <v>32</v>
      </c>
      <c r="E14" s="7" t="s">
        <v>10</v>
      </c>
      <c r="F14" s="7" t="s">
        <v>33</v>
      </c>
      <c r="G14" s="25">
        <v>98.4</v>
      </c>
      <c r="H14" s="8" t="s">
        <v>12</v>
      </c>
      <c r="M14" s="9"/>
    </row>
    <row r="15" spans="1:13" ht="18.75" customHeight="1" x14ac:dyDescent="0.3">
      <c r="A15" s="5">
        <v>1</v>
      </c>
      <c r="B15" s="6">
        <v>45476</v>
      </c>
      <c r="C15" s="7" t="s">
        <v>8</v>
      </c>
      <c r="D15" s="8" t="s">
        <v>32</v>
      </c>
      <c r="E15" s="7" t="s">
        <v>10</v>
      </c>
      <c r="F15" s="7" t="s">
        <v>33</v>
      </c>
      <c r="G15" s="25">
        <v>40</v>
      </c>
      <c r="H15" s="8" t="s">
        <v>12</v>
      </c>
      <c r="K15" s="9"/>
      <c r="M15" s="9"/>
    </row>
    <row r="16" spans="1:13" ht="18.75" customHeight="1" x14ac:dyDescent="0.3">
      <c r="A16" s="5">
        <v>1</v>
      </c>
      <c r="B16" s="6">
        <v>45496</v>
      </c>
      <c r="C16" s="7" t="s">
        <v>8</v>
      </c>
      <c r="D16" s="8" t="s">
        <v>49</v>
      </c>
      <c r="E16" s="7" t="s">
        <v>10</v>
      </c>
      <c r="F16" s="7" t="s">
        <v>11</v>
      </c>
      <c r="G16" s="25">
        <v>100</v>
      </c>
      <c r="H16" s="8" t="s">
        <v>12</v>
      </c>
      <c r="K16" s="9"/>
      <c r="M16" s="9"/>
    </row>
    <row r="17" spans="1:13" ht="18.75" customHeight="1" x14ac:dyDescent="0.3">
      <c r="A17" s="5">
        <v>1</v>
      </c>
      <c r="B17" s="6">
        <v>45499</v>
      </c>
      <c r="C17" s="7" t="s">
        <v>8</v>
      </c>
      <c r="D17" s="8" t="s">
        <v>32</v>
      </c>
      <c r="E17" s="7" t="s">
        <v>10</v>
      </c>
      <c r="F17" s="7" t="s">
        <v>33</v>
      </c>
      <c r="G17" s="25">
        <v>479.53</v>
      </c>
      <c r="H17" s="8" t="s">
        <v>12</v>
      </c>
      <c r="M17" s="9"/>
    </row>
    <row r="18" spans="1:13" ht="18.75" customHeight="1" x14ac:dyDescent="0.3">
      <c r="A18" s="5">
        <v>1</v>
      </c>
      <c r="B18" s="6">
        <v>45503</v>
      </c>
      <c r="C18" s="7" t="s">
        <v>8</v>
      </c>
      <c r="D18" s="8" t="s">
        <v>32</v>
      </c>
      <c r="E18" s="7" t="s">
        <v>10</v>
      </c>
      <c r="F18" s="7" t="s">
        <v>33</v>
      </c>
      <c r="G18" s="25">
        <v>678.98</v>
      </c>
      <c r="H18" s="8" t="s">
        <v>12</v>
      </c>
      <c r="M18" s="9"/>
    </row>
    <row r="19" spans="1:13" ht="18.75" customHeight="1" x14ac:dyDescent="0.3">
      <c r="A19" s="5">
        <v>1</v>
      </c>
      <c r="B19" s="6">
        <v>45504</v>
      </c>
      <c r="C19" s="7" t="s">
        <v>19</v>
      </c>
      <c r="D19" s="8" t="s">
        <v>20</v>
      </c>
      <c r="E19" s="7" t="s">
        <v>21</v>
      </c>
      <c r="F19" s="7" t="s">
        <v>11</v>
      </c>
      <c r="G19" s="25">
        <v>15.950000000000001</v>
      </c>
      <c r="H19" s="8" t="s">
        <v>12</v>
      </c>
      <c r="M19" s="9"/>
    </row>
    <row r="20" spans="1:13" ht="18.75" customHeight="1" x14ac:dyDescent="0.3">
      <c r="A20" s="5">
        <v>1</v>
      </c>
      <c r="B20" s="6">
        <v>45504</v>
      </c>
      <c r="C20" s="7" t="s">
        <v>19</v>
      </c>
      <c r="D20" s="8" t="s">
        <v>22</v>
      </c>
      <c r="E20" s="7" t="s">
        <v>23</v>
      </c>
      <c r="F20" s="7" t="s">
        <v>11</v>
      </c>
      <c r="G20" s="25">
        <v>39.93</v>
      </c>
      <c r="H20" s="8" t="s">
        <v>12</v>
      </c>
      <c r="M20" s="9"/>
    </row>
    <row r="21" spans="1:13" ht="18.75" customHeight="1" x14ac:dyDescent="0.3">
      <c r="A21" s="5">
        <v>1</v>
      </c>
      <c r="B21" s="6">
        <v>45504</v>
      </c>
      <c r="C21" s="7" t="s">
        <v>19</v>
      </c>
      <c r="D21" s="8" t="s">
        <v>26</v>
      </c>
      <c r="E21" s="7" t="s">
        <v>27</v>
      </c>
      <c r="F21" s="7" t="s">
        <v>11</v>
      </c>
      <c r="G21" s="25">
        <v>146.97999999999999</v>
      </c>
      <c r="H21" s="8" t="s">
        <v>12</v>
      </c>
    </row>
    <row r="22" spans="1:13" ht="18.75" customHeight="1" x14ac:dyDescent="0.3">
      <c r="A22" s="5">
        <v>1</v>
      </c>
      <c r="B22" s="6">
        <v>45504</v>
      </c>
      <c r="C22" s="7" t="s">
        <v>19</v>
      </c>
      <c r="D22" s="8" t="s">
        <v>28</v>
      </c>
      <c r="E22" s="7" t="s">
        <v>29</v>
      </c>
      <c r="F22" s="7" t="s">
        <v>11</v>
      </c>
      <c r="G22" s="25">
        <v>286.69</v>
      </c>
      <c r="H22" s="8" t="s">
        <v>12</v>
      </c>
    </row>
    <row r="23" spans="1:13" ht="18.75" customHeight="1" x14ac:dyDescent="0.3">
      <c r="A23" s="5">
        <v>1</v>
      </c>
      <c r="B23" s="6">
        <v>45504</v>
      </c>
      <c r="C23" s="7" t="s">
        <v>19</v>
      </c>
      <c r="D23" s="8" t="s">
        <v>30</v>
      </c>
      <c r="E23" s="7" t="s">
        <v>31</v>
      </c>
      <c r="F23" s="7" t="s">
        <v>11</v>
      </c>
      <c r="G23" s="25">
        <v>50</v>
      </c>
      <c r="H23" s="8" t="s">
        <v>12</v>
      </c>
      <c r="K23" s="9"/>
    </row>
    <row r="24" spans="1:13" ht="18.75" customHeight="1" x14ac:dyDescent="0.3">
      <c r="A24" s="5">
        <v>1</v>
      </c>
      <c r="B24" s="6">
        <v>45504</v>
      </c>
      <c r="C24" s="7" t="s">
        <v>19</v>
      </c>
      <c r="D24" s="8" t="s">
        <v>35</v>
      </c>
      <c r="E24" s="7" t="s">
        <v>36</v>
      </c>
      <c r="F24" s="7" t="s">
        <v>11</v>
      </c>
      <c r="G24" s="25">
        <v>36.75</v>
      </c>
      <c r="H24" s="8" t="s">
        <v>12</v>
      </c>
    </row>
    <row r="25" spans="1:13" ht="18.75" customHeight="1" x14ac:dyDescent="0.3">
      <c r="A25" s="5">
        <v>1</v>
      </c>
      <c r="B25" s="6">
        <v>45504</v>
      </c>
      <c r="C25" s="7" t="s">
        <v>19</v>
      </c>
      <c r="D25" s="8" t="s">
        <v>39</v>
      </c>
      <c r="E25" s="7" t="s">
        <v>40</v>
      </c>
      <c r="F25" s="7" t="s">
        <v>11</v>
      </c>
      <c r="G25" s="25">
        <v>267.67</v>
      </c>
      <c r="H25" s="8" t="s">
        <v>12</v>
      </c>
    </row>
    <row r="26" spans="1:13" ht="18.75" customHeight="1" x14ac:dyDescent="0.3">
      <c r="A26" s="5">
        <v>1</v>
      </c>
      <c r="B26" s="6">
        <v>45504</v>
      </c>
      <c r="C26" s="7" t="s">
        <v>19</v>
      </c>
      <c r="D26" s="8" t="s">
        <v>41</v>
      </c>
      <c r="E26" s="7" t="s">
        <v>42</v>
      </c>
      <c r="F26" s="7" t="s">
        <v>11</v>
      </c>
      <c r="G26" s="25">
        <v>41.910000000000004</v>
      </c>
      <c r="H26" s="8" t="s">
        <v>12</v>
      </c>
    </row>
    <row r="27" spans="1:13" ht="18.75" customHeight="1" x14ac:dyDescent="0.3">
      <c r="A27" s="5">
        <v>1</v>
      </c>
      <c r="B27" s="6">
        <v>45504</v>
      </c>
      <c r="C27" s="7" t="s">
        <v>19</v>
      </c>
      <c r="D27" s="8" t="s">
        <v>47</v>
      </c>
      <c r="E27" s="7" t="s">
        <v>48</v>
      </c>
      <c r="F27" s="7" t="s">
        <v>11</v>
      </c>
      <c r="G27" s="25">
        <v>22.75</v>
      </c>
      <c r="H27" s="8" t="s">
        <v>12</v>
      </c>
    </row>
    <row r="28" spans="1:13" ht="18.75" customHeight="1" x14ac:dyDescent="0.3">
      <c r="A28" s="5">
        <v>1</v>
      </c>
      <c r="B28" s="6">
        <v>45508</v>
      </c>
      <c r="C28" s="7" t="s">
        <v>8</v>
      </c>
      <c r="D28" s="8" t="s">
        <v>43</v>
      </c>
      <c r="E28" s="7" t="s">
        <v>10</v>
      </c>
      <c r="F28" s="7" t="s">
        <v>11</v>
      </c>
      <c r="G28" s="25">
        <v>300</v>
      </c>
      <c r="H28" s="8" t="s">
        <v>12</v>
      </c>
      <c r="K28" s="9"/>
    </row>
    <row r="29" spans="1:13" ht="18.75" customHeight="1" x14ac:dyDescent="0.3">
      <c r="A29" s="5">
        <v>1</v>
      </c>
      <c r="B29" s="6">
        <v>45530</v>
      </c>
      <c r="C29" s="7" t="s">
        <v>8</v>
      </c>
      <c r="D29" s="8" t="s">
        <v>32</v>
      </c>
      <c r="E29" s="7" t="s">
        <v>10</v>
      </c>
      <c r="F29" s="7" t="s">
        <v>33</v>
      </c>
      <c r="G29" s="25">
        <v>42.75</v>
      </c>
      <c r="H29" s="8" t="s">
        <v>12</v>
      </c>
    </row>
    <row r="30" spans="1:13" ht="18.75" customHeight="1" x14ac:dyDescent="0.3">
      <c r="A30" s="5">
        <v>1</v>
      </c>
      <c r="B30" s="6">
        <v>45533</v>
      </c>
      <c r="C30" s="7" t="s">
        <v>8</v>
      </c>
      <c r="D30" s="8" t="s">
        <v>32</v>
      </c>
      <c r="E30" s="7" t="s">
        <v>10</v>
      </c>
      <c r="F30" s="7" t="s">
        <v>33</v>
      </c>
      <c r="G30" s="25">
        <v>70</v>
      </c>
      <c r="H30" s="8" t="s">
        <v>12</v>
      </c>
    </row>
    <row r="31" spans="1:13" ht="18.75" customHeight="1" x14ac:dyDescent="0.3">
      <c r="A31" s="5">
        <v>1</v>
      </c>
      <c r="B31" s="6">
        <v>45534</v>
      </c>
      <c r="C31" s="7" t="s">
        <v>8</v>
      </c>
      <c r="D31" s="8" t="s">
        <v>32</v>
      </c>
      <c r="E31" s="7" t="s">
        <v>10</v>
      </c>
      <c r="F31" s="7" t="s">
        <v>33</v>
      </c>
      <c r="G31" s="25">
        <v>236.85</v>
      </c>
      <c r="H31" s="8" t="s">
        <v>12</v>
      </c>
    </row>
    <row r="32" spans="1:13" ht="18.75" customHeight="1" x14ac:dyDescent="0.3">
      <c r="A32" s="5">
        <v>1</v>
      </c>
      <c r="B32" s="6">
        <v>45535</v>
      </c>
      <c r="C32" s="7" t="s">
        <v>19</v>
      </c>
      <c r="D32" s="8" t="s">
        <v>20</v>
      </c>
      <c r="E32" s="7" t="s">
        <v>21</v>
      </c>
      <c r="F32" s="7" t="s">
        <v>11</v>
      </c>
      <c r="G32" s="25">
        <v>3.76</v>
      </c>
      <c r="H32" s="8" t="s">
        <v>12</v>
      </c>
      <c r="K32" s="9"/>
    </row>
    <row r="33" spans="1:8" ht="18.75" customHeight="1" x14ac:dyDescent="0.3">
      <c r="A33" s="5">
        <v>1</v>
      </c>
      <c r="B33" s="6">
        <v>45535</v>
      </c>
      <c r="C33" s="7" t="s">
        <v>19</v>
      </c>
      <c r="D33" s="8" t="s">
        <v>22</v>
      </c>
      <c r="E33" s="7" t="s">
        <v>23</v>
      </c>
      <c r="F33" s="7" t="s">
        <v>11</v>
      </c>
      <c r="G33" s="25">
        <v>96.72</v>
      </c>
      <c r="H33" s="8" t="s">
        <v>12</v>
      </c>
    </row>
    <row r="34" spans="1:8" ht="18.75" customHeight="1" x14ac:dyDescent="0.3">
      <c r="A34" s="5">
        <v>1</v>
      </c>
      <c r="B34" s="6">
        <v>45535</v>
      </c>
      <c r="C34" s="7" t="s">
        <v>19</v>
      </c>
      <c r="D34" s="8" t="s">
        <v>26</v>
      </c>
      <c r="E34" s="7" t="s">
        <v>27</v>
      </c>
      <c r="F34" s="7" t="s">
        <v>11</v>
      </c>
      <c r="G34" s="25">
        <v>167.96</v>
      </c>
      <c r="H34" s="8" t="s">
        <v>12</v>
      </c>
    </row>
    <row r="35" spans="1:8" ht="18.75" customHeight="1" x14ac:dyDescent="0.3">
      <c r="A35" s="5">
        <v>1</v>
      </c>
      <c r="B35" s="6">
        <v>45535</v>
      </c>
      <c r="C35" s="7" t="s">
        <v>19</v>
      </c>
      <c r="D35" s="8" t="s">
        <v>28</v>
      </c>
      <c r="E35" s="7" t="s">
        <v>29</v>
      </c>
      <c r="F35" s="7" t="s">
        <v>11</v>
      </c>
      <c r="G35" s="25">
        <v>334.59999999999997</v>
      </c>
      <c r="H35" s="8" t="s">
        <v>12</v>
      </c>
    </row>
    <row r="36" spans="1:8" ht="18.75" customHeight="1" x14ac:dyDescent="0.3">
      <c r="A36" s="5">
        <v>1</v>
      </c>
      <c r="B36" s="6">
        <v>45535</v>
      </c>
      <c r="C36" s="7" t="s">
        <v>19</v>
      </c>
      <c r="D36" s="8" t="s">
        <v>30</v>
      </c>
      <c r="E36" s="7" t="s">
        <v>31</v>
      </c>
      <c r="F36" s="7" t="s">
        <v>11</v>
      </c>
      <c r="G36" s="25">
        <v>66</v>
      </c>
      <c r="H36" s="8" t="s">
        <v>12</v>
      </c>
    </row>
    <row r="37" spans="1:8" ht="18.75" customHeight="1" x14ac:dyDescent="0.3">
      <c r="A37" s="5">
        <v>1</v>
      </c>
      <c r="B37" s="6">
        <v>45535</v>
      </c>
      <c r="C37" s="7" t="s">
        <v>19</v>
      </c>
      <c r="D37" s="8" t="s">
        <v>35</v>
      </c>
      <c r="E37" s="7" t="s">
        <v>36</v>
      </c>
      <c r="F37" s="7" t="s">
        <v>11</v>
      </c>
      <c r="G37" s="25">
        <v>179.18</v>
      </c>
      <c r="H37" s="8" t="s">
        <v>12</v>
      </c>
    </row>
    <row r="38" spans="1:8" ht="18.75" customHeight="1" x14ac:dyDescent="0.3">
      <c r="A38" s="5">
        <v>1</v>
      </c>
      <c r="B38" s="6">
        <v>45535</v>
      </c>
      <c r="C38" s="7" t="s">
        <v>19</v>
      </c>
      <c r="D38" s="8" t="s">
        <v>39</v>
      </c>
      <c r="E38" s="7" t="s">
        <v>40</v>
      </c>
      <c r="F38" s="7" t="s">
        <v>11</v>
      </c>
      <c r="G38" s="25">
        <v>28.869999999999997</v>
      </c>
      <c r="H38" s="8" t="s">
        <v>12</v>
      </c>
    </row>
    <row r="39" spans="1:8" ht="18.75" customHeight="1" x14ac:dyDescent="0.3">
      <c r="A39" s="5">
        <v>1</v>
      </c>
      <c r="B39" s="6">
        <v>45535</v>
      </c>
      <c r="C39" s="7" t="s">
        <v>19</v>
      </c>
      <c r="D39" s="8" t="s">
        <v>41</v>
      </c>
      <c r="E39" s="7" t="s">
        <v>42</v>
      </c>
      <c r="F39" s="7" t="s">
        <v>11</v>
      </c>
      <c r="G39" s="25">
        <v>22.11</v>
      </c>
      <c r="H39" s="8" t="s">
        <v>12</v>
      </c>
    </row>
    <row r="40" spans="1:8" ht="18.75" customHeight="1" x14ac:dyDescent="0.3">
      <c r="A40" s="5">
        <v>1</v>
      </c>
      <c r="B40" s="6">
        <v>45535</v>
      </c>
      <c r="C40" s="7" t="s">
        <v>19</v>
      </c>
      <c r="D40" s="8" t="s">
        <v>47</v>
      </c>
      <c r="E40" s="7" t="s">
        <v>48</v>
      </c>
      <c r="F40" s="7" t="s">
        <v>11</v>
      </c>
      <c r="G40" s="25">
        <v>136.65</v>
      </c>
      <c r="H40" s="8" t="s">
        <v>12</v>
      </c>
    </row>
    <row r="41" spans="1:8" ht="18.75" customHeight="1" x14ac:dyDescent="0.3">
      <c r="A41" s="5">
        <v>1</v>
      </c>
      <c r="B41" s="6">
        <v>45537</v>
      </c>
      <c r="C41" s="7" t="s">
        <v>8</v>
      </c>
      <c r="D41" s="8" t="s">
        <v>32</v>
      </c>
      <c r="E41" s="7" t="s">
        <v>10</v>
      </c>
      <c r="F41" s="7" t="s">
        <v>33</v>
      </c>
      <c r="G41" s="25">
        <v>274</v>
      </c>
      <c r="H41" s="8" t="s">
        <v>12</v>
      </c>
    </row>
    <row r="42" spans="1:8" ht="18.75" customHeight="1" x14ac:dyDescent="0.3">
      <c r="A42" s="5">
        <v>1</v>
      </c>
      <c r="B42" s="6">
        <v>45542</v>
      </c>
      <c r="C42" s="7" t="s">
        <v>8</v>
      </c>
      <c r="D42" s="8" t="s">
        <v>32</v>
      </c>
      <c r="E42" s="7" t="s">
        <v>10</v>
      </c>
      <c r="F42" s="7" t="s">
        <v>33</v>
      </c>
      <c r="G42" s="25">
        <v>400</v>
      </c>
      <c r="H42" s="8" t="s">
        <v>12</v>
      </c>
    </row>
    <row r="43" spans="1:8" ht="18.75" customHeight="1" x14ac:dyDescent="0.3">
      <c r="A43" s="5">
        <v>1</v>
      </c>
      <c r="B43" s="6">
        <v>45561</v>
      </c>
      <c r="C43" s="7" t="s">
        <v>8</v>
      </c>
      <c r="D43" s="8" t="s">
        <v>32</v>
      </c>
      <c r="E43" s="7" t="s">
        <v>10</v>
      </c>
      <c r="F43" s="7" t="s">
        <v>33</v>
      </c>
      <c r="G43" s="25">
        <v>576.5</v>
      </c>
      <c r="H43" s="8" t="s">
        <v>12</v>
      </c>
    </row>
    <row r="44" spans="1:8" ht="18.75" customHeight="1" x14ac:dyDescent="0.3">
      <c r="A44" s="5">
        <v>1</v>
      </c>
      <c r="B44" s="6">
        <v>45565</v>
      </c>
      <c r="C44" s="7" t="s">
        <v>19</v>
      </c>
      <c r="D44" s="8" t="s">
        <v>20</v>
      </c>
      <c r="E44" s="7" t="s">
        <v>21</v>
      </c>
      <c r="F44" s="7" t="s">
        <v>11</v>
      </c>
      <c r="G44" s="25">
        <v>18.93</v>
      </c>
      <c r="H44" s="8" t="s">
        <v>12</v>
      </c>
    </row>
    <row r="45" spans="1:8" ht="18.75" customHeight="1" x14ac:dyDescent="0.3">
      <c r="A45" s="5">
        <v>1</v>
      </c>
      <c r="B45" s="6">
        <v>45565</v>
      </c>
      <c r="C45" s="7" t="s">
        <v>19</v>
      </c>
      <c r="D45" s="8" t="s">
        <v>22</v>
      </c>
      <c r="E45" s="7" t="s">
        <v>23</v>
      </c>
      <c r="F45" s="7" t="s">
        <v>11</v>
      </c>
      <c r="G45" s="25">
        <v>69.989999999999995</v>
      </c>
      <c r="H45" s="8" t="s">
        <v>12</v>
      </c>
    </row>
    <row r="46" spans="1:8" ht="18.75" customHeight="1" x14ac:dyDescent="0.3">
      <c r="A46" s="5">
        <v>1</v>
      </c>
      <c r="B46" s="6">
        <v>45565</v>
      </c>
      <c r="C46" s="7" t="s">
        <v>19</v>
      </c>
      <c r="D46" s="8" t="s">
        <v>26</v>
      </c>
      <c r="E46" s="7" t="s">
        <v>27</v>
      </c>
      <c r="F46" s="7" t="s">
        <v>11</v>
      </c>
      <c r="G46" s="25">
        <v>177.23000000000002</v>
      </c>
      <c r="H46" s="8" t="s">
        <v>12</v>
      </c>
    </row>
    <row r="47" spans="1:8" ht="18.75" customHeight="1" x14ac:dyDescent="0.3">
      <c r="A47" s="5">
        <v>1</v>
      </c>
      <c r="B47" s="6">
        <v>45565</v>
      </c>
      <c r="C47" s="7" t="s">
        <v>19</v>
      </c>
      <c r="D47" s="8" t="s">
        <v>28</v>
      </c>
      <c r="E47" s="7" t="s">
        <v>29</v>
      </c>
      <c r="F47" s="7" t="s">
        <v>11</v>
      </c>
      <c r="G47" s="25">
        <v>274</v>
      </c>
      <c r="H47" s="8" t="s">
        <v>12</v>
      </c>
    </row>
    <row r="48" spans="1:8" ht="18.75" customHeight="1" x14ac:dyDescent="0.3">
      <c r="A48" s="5">
        <v>1</v>
      </c>
      <c r="B48" s="6">
        <v>45565</v>
      </c>
      <c r="C48" s="7" t="s">
        <v>19</v>
      </c>
      <c r="D48" s="8" t="s">
        <v>30</v>
      </c>
      <c r="E48" s="7" t="s">
        <v>31</v>
      </c>
      <c r="F48" s="7" t="s">
        <v>11</v>
      </c>
      <c r="G48" s="25">
        <v>91.06</v>
      </c>
      <c r="H48" s="8" t="s">
        <v>12</v>
      </c>
    </row>
    <row r="49" spans="1:11" ht="18.75" customHeight="1" x14ac:dyDescent="0.3">
      <c r="A49" s="5">
        <v>1</v>
      </c>
      <c r="B49" s="6">
        <v>45565</v>
      </c>
      <c r="C49" s="7" t="s">
        <v>19</v>
      </c>
      <c r="D49" s="8" t="s">
        <v>35</v>
      </c>
      <c r="E49" s="7" t="s">
        <v>36</v>
      </c>
      <c r="F49" s="7" t="s">
        <v>11</v>
      </c>
      <c r="G49" s="25">
        <v>172.09</v>
      </c>
      <c r="H49" s="8" t="s">
        <v>12</v>
      </c>
    </row>
    <row r="50" spans="1:11" ht="18.75" customHeight="1" x14ac:dyDescent="0.3">
      <c r="A50" s="5">
        <v>1</v>
      </c>
      <c r="B50" s="6">
        <v>45565</v>
      </c>
      <c r="C50" s="7" t="s">
        <v>19</v>
      </c>
      <c r="D50" s="8" t="s">
        <v>37</v>
      </c>
      <c r="E50" s="7" t="s">
        <v>38</v>
      </c>
      <c r="F50" s="7" t="s">
        <v>33</v>
      </c>
      <c r="G50" s="25">
        <v>1023.8</v>
      </c>
      <c r="H50" s="8" t="s">
        <v>12</v>
      </c>
    </row>
    <row r="51" spans="1:11" ht="18.75" customHeight="1" x14ac:dyDescent="0.3">
      <c r="A51" s="5">
        <v>1</v>
      </c>
      <c r="B51" s="6">
        <v>45565</v>
      </c>
      <c r="C51" s="7" t="s">
        <v>19</v>
      </c>
      <c r="D51" s="8" t="s">
        <v>39</v>
      </c>
      <c r="E51" s="7" t="s">
        <v>40</v>
      </c>
      <c r="F51" s="7" t="s">
        <v>11</v>
      </c>
      <c r="G51" s="25">
        <v>72.47</v>
      </c>
      <c r="H51" s="8" t="s">
        <v>12</v>
      </c>
      <c r="K51" s="9"/>
    </row>
    <row r="52" spans="1:11" ht="18.75" customHeight="1" x14ac:dyDescent="0.3">
      <c r="A52" s="5">
        <v>1</v>
      </c>
      <c r="B52" s="6">
        <v>45565</v>
      </c>
      <c r="C52" s="7" t="s">
        <v>19</v>
      </c>
      <c r="D52" s="8" t="s">
        <v>44</v>
      </c>
      <c r="E52" s="7" t="s">
        <v>45</v>
      </c>
      <c r="F52" s="7" t="s">
        <v>11</v>
      </c>
      <c r="G52" s="25">
        <v>29.87</v>
      </c>
      <c r="H52" s="8" t="s">
        <v>12</v>
      </c>
    </row>
    <row r="53" spans="1:11" ht="18.75" customHeight="1" x14ac:dyDescent="0.3">
      <c r="A53" s="5">
        <v>1</v>
      </c>
      <c r="B53" s="6">
        <v>45565</v>
      </c>
      <c r="C53" s="7" t="s">
        <v>19</v>
      </c>
      <c r="D53" s="8" t="s">
        <v>47</v>
      </c>
      <c r="E53" s="7" t="s">
        <v>48</v>
      </c>
      <c r="F53" s="7" t="s">
        <v>11</v>
      </c>
      <c r="G53" s="25">
        <v>138.78</v>
      </c>
      <c r="H53" s="8" t="s">
        <v>12</v>
      </c>
    </row>
    <row r="54" spans="1:11" ht="18.75" customHeight="1" x14ac:dyDescent="0.3">
      <c r="A54" s="5">
        <v>1</v>
      </c>
      <c r="B54" s="6">
        <v>45582</v>
      </c>
      <c r="C54" s="7" t="s">
        <v>8</v>
      </c>
      <c r="D54" s="8" t="s">
        <v>14</v>
      </c>
      <c r="E54" s="7" t="s">
        <v>10</v>
      </c>
      <c r="F54" s="7" t="s">
        <v>11</v>
      </c>
      <c r="G54" s="25">
        <v>298.95999999999998</v>
      </c>
      <c r="H54" s="8" t="s">
        <v>12</v>
      </c>
    </row>
    <row r="55" spans="1:11" ht="18.75" customHeight="1" x14ac:dyDescent="0.3">
      <c r="A55" s="5">
        <v>1</v>
      </c>
      <c r="B55" s="6">
        <v>45595</v>
      </c>
      <c r="C55" s="7" t="s">
        <v>19</v>
      </c>
      <c r="D55" s="8" t="s">
        <v>37</v>
      </c>
      <c r="E55" s="7" t="s">
        <v>38</v>
      </c>
      <c r="F55" s="7" t="s">
        <v>33</v>
      </c>
      <c r="G55" s="27">
        <v>1023.8</v>
      </c>
      <c r="H55" s="8" t="s">
        <v>12</v>
      </c>
    </row>
    <row r="56" spans="1:11" ht="18.75" customHeight="1" x14ac:dyDescent="0.3">
      <c r="A56" s="5">
        <v>1</v>
      </c>
      <c r="B56" s="6">
        <v>45596</v>
      </c>
      <c r="C56" s="7" t="s">
        <v>19</v>
      </c>
      <c r="D56" s="8" t="s">
        <v>20</v>
      </c>
      <c r="E56" s="7" t="s">
        <v>21</v>
      </c>
      <c r="F56" s="7" t="s">
        <v>11</v>
      </c>
      <c r="G56" s="25">
        <v>9</v>
      </c>
      <c r="H56" s="8" t="s">
        <v>12</v>
      </c>
    </row>
    <row r="57" spans="1:11" ht="18.75" customHeight="1" x14ac:dyDescent="0.3">
      <c r="A57" s="5">
        <v>1</v>
      </c>
      <c r="B57" s="6">
        <v>45596</v>
      </c>
      <c r="C57" s="7" t="s">
        <v>19</v>
      </c>
      <c r="D57" s="8" t="s">
        <v>22</v>
      </c>
      <c r="E57" s="7" t="s">
        <v>23</v>
      </c>
      <c r="F57" s="7" t="s">
        <v>11</v>
      </c>
      <c r="G57" s="25">
        <v>84.93</v>
      </c>
      <c r="H57" s="8" t="s">
        <v>12</v>
      </c>
    </row>
    <row r="58" spans="1:11" ht="18.75" customHeight="1" x14ac:dyDescent="0.3">
      <c r="A58" s="5">
        <v>1</v>
      </c>
      <c r="B58" s="6">
        <v>45596</v>
      </c>
      <c r="C58" s="7" t="s">
        <v>19</v>
      </c>
      <c r="D58" s="8" t="s">
        <v>26</v>
      </c>
      <c r="E58" s="7" t="s">
        <v>27</v>
      </c>
      <c r="F58" s="7" t="s">
        <v>11</v>
      </c>
      <c r="G58" s="25">
        <v>50.86</v>
      </c>
      <c r="H58" s="8" t="s">
        <v>12</v>
      </c>
    </row>
    <row r="59" spans="1:11" ht="18.75" customHeight="1" x14ac:dyDescent="0.3">
      <c r="A59" s="5">
        <v>1</v>
      </c>
      <c r="B59" s="6">
        <v>45596</v>
      </c>
      <c r="C59" s="7" t="s">
        <v>19</v>
      </c>
      <c r="D59" s="8" t="s">
        <v>28</v>
      </c>
      <c r="E59" s="7" t="s">
        <v>29</v>
      </c>
      <c r="F59" s="7" t="s">
        <v>11</v>
      </c>
      <c r="G59" s="25">
        <v>274</v>
      </c>
      <c r="H59" s="8" t="s">
        <v>12</v>
      </c>
    </row>
    <row r="60" spans="1:11" ht="18.75" customHeight="1" x14ac:dyDescent="0.3">
      <c r="A60" s="5">
        <v>1</v>
      </c>
      <c r="B60" s="6">
        <v>45596</v>
      </c>
      <c r="C60" s="7" t="s">
        <v>19</v>
      </c>
      <c r="D60" s="8" t="s">
        <v>30</v>
      </c>
      <c r="E60" s="7" t="s">
        <v>31</v>
      </c>
      <c r="F60" s="7" t="s">
        <v>11</v>
      </c>
      <c r="G60" s="25">
        <v>45</v>
      </c>
      <c r="H60" s="8" t="s">
        <v>12</v>
      </c>
    </row>
    <row r="61" spans="1:11" ht="18.75" customHeight="1" x14ac:dyDescent="0.3">
      <c r="A61" s="5">
        <v>1</v>
      </c>
      <c r="B61" s="6">
        <v>45596</v>
      </c>
      <c r="C61" s="7" t="s">
        <v>19</v>
      </c>
      <c r="D61" s="8" t="s">
        <v>35</v>
      </c>
      <c r="E61" s="7" t="s">
        <v>36</v>
      </c>
      <c r="F61" s="7" t="s">
        <v>11</v>
      </c>
      <c r="G61" s="25">
        <v>151.34</v>
      </c>
      <c r="H61" s="8" t="s">
        <v>12</v>
      </c>
    </row>
    <row r="62" spans="1:11" ht="18.75" customHeight="1" x14ac:dyDescent="0.3">
      <c r="A62" s="5">
        <v>1</v>
      </c>
      <c r="B62" s="6">
        <v>45596</v>
      </c>
      <c r="C62" s="7" t="s">
        <v>19</v>
      </c>
      <c r="D62" s="8" t="s">
        <v>39</v>
      </c>
      <c r="E62" s="7" t="s">
        <v>40</v>
      </c>
      <c r="F62" s="7" t="s">
        <v>11</v>
      </c>
      <c r="G62" s="25">
        <v>26.92</v>
      </c>
      <c r="H62" s="8" t="s">
        <v>12</v>
      </c>
    </row>
    <row r="63" spans="1:11" ht="18.75" customHeight="1" x14ac:dyDescent="0.3">
      <c r="A63" s="5">
        <v>1</v>
      </c>
      <c r="B63" s="6">
        <v>45596</v>
      </c>
      <c r="C63" s="7" t="s">
        <v>19</v>
      </c>
      <c r="D63" s="8" t="s">
        <v>44</v>
      </c>
      <c r="E63" s="7" t="s">
        <v>45</v>
      </c>
      <c r="F63" s="7" t="s">
        <v>11</v>
      </c>
      <c r="G63" s="25">
        <v>17.560000000000002</v>
      </c>
      <c r="H63" s="8" t="s">
        <v>12</v>
      </c>
    </row>
    <row r="64" spans="1:11" ht="18.75" customHeight="1" x14ac:dyDescent="0.3">
      <c r="A64" s="5">
        <v>1</v>
      </c>
      <c r="B64" s="6">
        <v>45596</v>
      </c>
      <c r="C64" s="7" t="s">
        <v>19</v>
      </c>
      <c r="D64" s="8" t="s">
        <v>47</v>
      </c>
      <c r="E64" s="7" t="s">
        <v>48</v>
      </c>
      <c r="F64" s="7" t="s">
        <v>11</v>
      </c>
      <c r="G64" s="25">
        <v>565.41000000000008</v>
      </c>
      <c r="H64" s="8" t="s">
        <v>12</v>
      </c>
    </row>
    <row r="65" spans="1:8" ht="18.75" customHeight="1" x14ac:dyDescent="0.3">
      <c r="A65" s="5">
        <v>1</v>
      </c>
      <c r="B65" s="6">
        <v>45605</v>
      </c>
      <c r="C65" s="7" t="s">
        <v>8</v>
      </c>
      <c r="D65" s="8" t="s">
        <v>32</v>
      </c>
      <c r="E65" s="7" t="s">
        <v>10</v>
      </c>
      <c r="F65" s="7" t="s">
        <v>33</v>
      </c>
      <c r="G65" s="25">
        <v>79.94</v>
      </c>
      <c r="H65" s="8" t="s">
        <v>12</v>
      </c>
    </row>
    <row r="66" spans="1:8" ht="18.75" customHeight="1" x14ac:dyDescent="0.3">
      <c r="A66" s="5">
        <v>1</v>
      </c>
      <c r="B66" s="6">
        <v>45610</v>
      </c>
      <c r="C66" s="7" t="s">
        <v>8</v>
      </c>
      <c r="D66" s="8" t="s">
        <v>32</v>
      </c>
      <c r="E66" s="7" t="s">
        <v>10</v>
      </c>
      <c r="F66" s="7" t="s">
        <v>33</v>
      </c>
      <c r="G66" s="25">
        <v>242.13</v>
      </c>
      <c r="H66" s="8" t="s">
        <v>12</v>
      </c>
    </row>
    <row r="67" spans="1:8" ht="18.75" customHeight="1" x14ac:dyDescent="0.3">
      <c r="A67" s="5">
        <v>1</v>
      </c>
      <c r="B67" s="6">
        <v>45613</v>
      </c>
      <c r="C67" s="7" t="s">
        <v>8</v>
      </c>
      <c r="D67" s="8" t="s">
        <v>16</v>
      </c>
      <c r="E67" s="7" t="s">
        <v>10</v>
      </c>
      <c r="F67" s="7" t="s">
        <v>11</v>
      </c>
      <c r="G67" s="25">
        <v>298.95999999999998</v>
      </c>
      <c r="H67" s="8" t="s">
        <v>12</v>
      </c>
    </row>
    <row r="68" spans="1:8" ht="18.75" customHeight="1" x14ac:dyDescent="0.3">
      <c r="A68" s="5">
        <v>1</v>
      </c>
      <c r="B68" s="6">
        <v>45619</v>
      </c>
      <c r="C68" s="7" t="s">
        <v>8</v>
      </c>
      <c r="D68" s="8" t="s">
        <v>32</v>
      </c>
      <c r="E68" s="7" t="s">
        <v>10</v>
      </c>
      <c r="F68" s="7" t="s">
        <v>33</v>
      </c>
      <c r="G68" s="25">
        <v>82.04</v>
      </c>
      <c r="H68" s="8" t="s">
        <v>12</v>
      </c>
    </row>
    <row r="69" spans="1:8" ht="18.75" customHeight="1" x14ac:dyDescent="0.3">
      <c r="A69" s="5">
        <v>1</v>
      </c>
      <c r="B69" s="6">
        <v>45625</v>
      </c>
      <c r="C69" s="7" t="s">
        <v>19</v>
      </c>
      <c r="D69" s="8" t="s">
        <v>37</v>
      </c>
      <c r="E69" s="7" t="s">
        <v>38</v>
      </c>
      <c r="F69" s="7" t="s">
        <v>33</v>
      </c>
      <c r="G69" s="27">
        <v>1023.8</v>
      </c>
      <c r="H69" s="8" t="s">
        <v>12</v>
      </c>
    </row>
    <row r="70" spans="1:8" ht="18.75" customHeight="1" x14ac:dyDescent="0.3">
      <c r="A70" s="5">
        <v>1</v>
      </c>
      <c r="B70" s="6">
        <v>45626</v>
      </c>
      <c r="C70" s="7" t="s">
        <v>19</v>
      </c>
      <c r="D70" s="8" t="s">
        <v>20</v>
      </c>
      <c r="E70" s="7" t="s">
        <v>21</v>
      </c>
      <c r="F70" s="7" t="s">
        <v>11</v>
      </c>
      <c r="G70" s="25">
        <v>28.24</v>
      </c>
      <c r="H70" s="8" t="s">
        <v>12</v>
      </c>
    </row>
    <row r="71" spans="1:8" ht="18.75" customHeight="1" x14ac:dyDescent="0.3">
      <c r="A71" s="5">
        <v>1</v>
      </c>
      <c r="B71" s="6">
        <v>45626</v>
      </c>
      <c r="C71" s="7" t="s">
        <v>19</v>
      </c>
      <c r="D71" s="8" t="s">
        <v>22</v>
      </c>
      <c r="E71" s="7" t="s">
        <v>23</v>
      </c>
      <c r="F71" s="7" t="s">
        <v>11</v>
      </c>
      <c r="G71" s="25">
        <v>88.85</v>
      </c>
      <c r="H71" s="8" t="s">
        <v>12</v>
      </c>
    </row>
    <row r="72" spans="1:8" ht="18.75" customHeight="1" x14ac:dyDescent="0.3">
      <c r="A72" s="5">
        <v>1</v>
      </c>
      <c r="B72" s="6">
        <v>45626</v>
      </c>
      <c r="C72" s="7" t="s">
        <v>19</v>
      </c>
      <c r="D72" s="8" t="s">
        <v>26</v>
      </c>
      <c r="E72" s="7" t="s">
        <v>27</v>
      </c>
      <c r="F72" s="7" t="s">
        <v>11</v>
      </c>
      <c r="G72" s="25">
        <v>135.14999999999998</v>
      </c>
      <c r="H72" s="8" t="s">
        <v>12</v>
      </c>
    </row>
    <row r="73" spans="1:8" ht="18.75" customHeight="1" x14ac:dyDescent="0.3">
      <c r="A73" s="5">
        <v>1</v>
      </c>
      <c r="B73" s="6">
        <v>45626</v>
      </c>
      <c r="C73" s="7" t="s">
        <v>19</v>
      </c>
      <c r="D73" s="8" t="s">
        <v>28</v>
      </c>
      <c r="E73" s="7" t="s">
        <v>29</v>
      </c>
      <c r="F73" s="7" t="s">
        <v>11</v>
      </c>
      <c r="G73" s="25">
        <v>284.8</v>
      </c>
      <c r="H73" s="8" t="s">
        <v>12</v>
      </c>
    </row>
    <row r="74" spans="1:8" ht="18.75" customHeight="1" x14ac:dyDescent="0.3">
      <c r="A74" s="5">
        <v>1</v>
      </c>
      <c r="B74" s="6">
        <v>45626</v>
      </c>
      <c r="C74" s="7" t="s">
        <v>19</v>
      </c>
      <c r="D74" s="8" t="s">
        <v>30</v>
      </c>
      <c r="E74" s="7" t="s">
        <v>31</v>
      </c>
      <c r="F74" s="7" t="s">
        <v>11</v>
      </c>
      <c r="G74" s="25">
        <v>40.76</v>
      </c>
      <c r="H74" s="8" t="s">
        <v>12</v>
      </c>
    </row>
    <row r="75" spans="1:8" ht="18.75" customHeight="1" x14ac:dyDescent="0.3">
      <c r="A75" s="5">
        <v>1</v>
      </c>
      <c r="B75" s="6">
        <v>45626</v>
      </c>
      <c r="C75" s="7" t="s">
        <v>19</v>
      </c>
      <c r="D75" s="8" t="s">
        <v>35</v>
      </c>
      <c r="E75" s="7" t="s">
        <v>36</v>
      </c>
      <c r="F75" s="7" t="s">
        <v>11</v>
      </c>
      <c r="G75" s="25">
        <v>163.84</v>
      </c>
      <c r="H75" s="8" t="s">
        <v>12</v>
      </c>
    </row>
    <row r="76" spans="1:8" ht="18.75" customHeight="1" x14ac:dyDescent="0.3">
      <c r="A76" s="5">
        <v>1</v>
      </c>
      <c r="B76" s="6">
        <v>45626</v>
      </c>
      <c r="C76" s="7" t="s">
        <v>19</v>
      </c>
      <c r="D76" s="8" t="s">
        <v>39</v>
      </c>
      <c r="E76" s="7" t="s">
        <v>40</v>
      </c>
      <c r="F76" s="7" t="s">
        <v>11</v>
      </c>
      <c r="G76" s="25">
        <v>50.83</v>
      </c>
      <c r="H76" s="8" t="s">
        <v>12</v>
      </c>
    </row>
    <row r="77" spans="1:8" ht="18.75" customHeight="1" x14ac:dyDescent="0.3">
      <c r="A77" s="5">
        <v>1</v>
      </c>
      <c r="B77" s="6">
        <v>45626</v>
      </c>
      <c r="C77" s="7" t="s">
        <v>19</v>
      </c>
      <c r="D77" s="8" t="s">
        <v>44</v>
      </c>
      <c r="E77" s="7" t="s">
        <v>45</v>
      </c>
      <c r="F77" s="7" t="s">
        <v>11</v>
      </c>
      <c r="G77" s="25">
        <v>5.59</v>
      </c>
      <c r="H77" s="8" t="s">
        <v>12</v>
      </c>
    </row>
    <row r="78" spans="1:8" ht="18.75" customHeight="1" x14ac:dyDescent="0.3">
      <c r="A78" s="5">
        <v>1</v>
      </c>
      <c r="B78" s="6">
        <v>45626</v>
      </c>
      <c r="C78" s="7" t="s">
        <v>19</v>
      </c>
      <c r="D78" s="8" t="s">
        <v>47</v>
      </c>
      <c r="E78" s="7" t="s">
        <v>48</v>
      </c>
      <c r="F78" s="7" t="s">
        <v>11</v>
      </c>
      <c r="G78" s="25">
        <v>276.43</v>
      </c>
      <c r="H78" s="8" t="s">
        <v>12</v>
      </c>
    </row>
    <row r="79" spans="1:8" ht="18.75" customHeight="1" x14ac:dyDescent="0.3">
      <c r="A79" s="5">
        <v>1</v>
      </c>
      <c r="B79" s="6">
        <v>45638</v>
      </c>
      <c r="C79" s="7" t="s">
        <v>8</v>
      </c>
      <c r="D79" s="8" t="s">
        <v>32</v>
      </c>
      <c r="E79" s="7" t="s">
        <v>10</v>
      </c>
      <c r="F79" s="7" t="s">
        <v>33</v>
      </c>
      <c r="G79" s="25">
        <v>100</v>
      </c>
      <c r="H79" s="8" t="s">
        <v>12</v>
      </c>
    </row>
    <row r="80" spans="1:8" ht="18.75" customHeight="1" x14ac:dyDescent="0.3">
      <c r="A80" s="5">
        <v>1</v>
      </c>
      <c r="B80" s="6">
        <v>45643</v>
      </c>
      <c r="C80" s="7" t="s">
        <v>8</v>
      </c>
      <c r="D80" s="8" t="s">
        <v>17</v>
      </c>
      <c r="E80" s="7" t="s">
        <v>10</v>
      </c>
      <c r="F80" s="7" t="s">
        <v>11</v>
      </c>
      <c r="G80" s="25">
        <v>298.95999999999998</v>
      </c>
      <c r="H80" s="8" t="s">
        <v>12</v>
      </c>
    </row>
    <row r="81" spans="1:15" ht="18.75" customHeight="1" x14ac:dyDescent="0.3">
      <c r="A81" s="5">
        <v>1</v>
      </c>
      <c r="B81" s="6">
        <v>45656</v>
      </c>
      <c r="C81" s="7" t="s">
        <v>19</v>
      </c>
      <c r="D81" s="8" t="s">
        <v>37</v>
      </c>
      <c r="E81" s="7" t="s">
        <v>38</v>
      </c>
      <c r="F81" s="7" t="s">
        <v>33</v>
      </c>
      <c r="G81" s="27">
        <v>1023.8</v>
      </c>
      <c r="H81" s="8" t="s">
        <v>12</v>
      </c>
    </row>
    <row r="82" spans="1:15" ht="18.75" customHeight="1" x14ac:dyDescent="0.3">
      <c r="A82" s="5">
        <v>1</v>
      </c>
      <c r="B82" s="6">
        <v>45657</v>
      </c>
      <c r="C82" s="7" t="s">
        <v>19</v>
      </c>
      <c r="D82" s="8" t="s">
        <v>20</v>
      </c>
      <c r="E82" s="7" t="s">
        <v>21</v>
      </c>
      <c r="F82" s="7" t="s">
        <v>11</v>
      </c>
      <c r="G82" s="25">
        <v>11.05</v>
      </c>
      <c r="H82" s="8" t="s">
        <v>12</v>
      </c>
    </row>
    <row r="83" spans="1:15" ht="18.75" customHeight="1" x14ac:dyDescent="0.3">
      <c r="A83" s="5">
        <v>1</v>
      </c>
      <c r="B83" s="6">
        <v>45657</v>
      </c>
      <c r="C83" s="7" t="s">
        <v>19</v>
      </c>
      <c r="D83" s="8" t="s">
        <v>22</v>
      </c>
      <c r="E83" s="7" t="s">
        <v>23</v>
      </c>
      <c r="F83" s="7" t="s">
        <v>11</v>
      </c>
      <c r="G83" s="25">
        <v>123.28999999999999</v>
      </c>
      <c r="H83" s="8" t="s">
        <v>12</v>
      </c>
    </row>
    <row r="84" spans="1:15" ht="18.75" customHeight="1" x14ac:dyDescent="0.3">
      <c r="A84" s="5">
        <v>1</v>
      </c>
      <c r="B84" s="6">
        <v>45657</v>
      </c>
      <c r="C84" s="7" t="s">
        <v>19</v>
      </c>
      <c r="D84" s="8" t="s">
        <v>26</v>
      </c>
      <c r="E84" s="7" t="s">
        <v>27</v>
      </c>
      <c r="F84" s="7" t="s">
        <v>11</v>
      </c>
      <c r="G84" s="25">
        <v>102.53999999999999</v>
      </c>
      <c r="H84" s="8" t="s">
        <v>12</v>
      </c>
    </row>
    <row r="85" spans="1:15" ht="18.75" customHeight="1" x14ac:dyDescent="0.3">
      <c r="A85" s="5">
        <v>1</v>
      </c>
      <c r="B85" s="6">
        <v>45657</v>
      </c>
      <c r="C85" s="7" t="s">
        <v>19</v>
      </c>
      <c r="D85" s="8" t="s">
        <v>28</v>
      </c>
      <c r="E85" s="7" t="s">
        <v>29</v>
      </c>
      <c r="F85" s="7" t="s">
        <v>11</v>
      </c>
      <c r="G85" s="25">
        <v>274</v>
      </c>
      <c r="H85" s="8" t="s">
        <v>12</v>
      </c>
    </row>
    <row r="86" spans="1:15" ht="18.75" customHeight="1" x14ac:dyDescent="0.3">
      <c r="A86" s="5">
        <v>1</v>
      </c>
      <c r="B86" s="6">
        <v>45657</v>
      </c>
      <c r="C86" s="7" t="s">
        <v>19</v>
      </c>
      <c r="D86" s="8" t="s">
        <v>30</v>
      </c>
      <c r="E86" s="7" t="s">
        <v>31</v>
      </c>
      <c r="F86" s="7" t="s">
        <v>11</v>
      </c>
      <c r="G86" s="25">
        <v>40</v>
      </c>
      <c r="H86" s="8" t="s">
        <v>12</v>
      </c>
    </row>
    <row r="87" spans="1:15" ht="18.75" customHeight="1" x14ac:dyDescent="0.3">
      <c r="A87" s="5">
        <v>1</v>
      </c>
      <c r="B87" s="6">
        <v>45657</v>
      </c>
      <c r="C87" s="7" t="s">
        <v>19</v>
      </c>
      <c r="D87" s="8" t="s">
        <v>35</v>
      </c>
      <c r="E87" s="7" t="s">
        <v>36</v>
      </c>
      <c r="F87" s="7" t="s">
        <v>11</v>
      </c>
      <c r="G87" s="25">
        <v>143.09</v>
      </c>
      <c r="H87" s="8" t="s">
        <v>12</v>
      </c>
    </row>
    <row r="88" spans="1:15" ht="18.75" customHeight="1" x14ac:dyDescent="0.3">
      <c r="A88" s="5">
        <v>1</v>
      </c>
      <c r="B88" s="6">
        <v>45657</v>
      </c>
      <c r="C88" s="7" t="s">
        <v>19</v>
      </c>
      <c r="D88" s="8" t="s">
        <v>39</v>
      </c>
      <c r="E88" s="7" t="s">
        <v>40</v>
      </c>
      <c r="F88" s="7" t="s">
        <v>11</v>
      </c>
      <c r="G88" s="25">
        <v>107.53999999999999</v>
      </c>
      <c r="H88" s="8" t="s">
        <v>12</v>
      </c>
    </row>
    <row r="89" spans="1:15" ht="18.75" customHeight="1" x14ac:dyDescent="0.3">
      <c r="A89" s="5">
        <v>1</v>
      </c>
      <c r="B89" s="6">
        <v>45657</v>
      </c>
      <c r="C89" s="7" t="s">
        <v>19</v>
      </c>
      <c r="D89" s="8" t="s">
        <v>44</v>
      </c>
      <c r="E89" s="7" t="s">
        <v>45</v>
      </c>
      <c r="F89" s="7" t="s">
        <v>11</v>
      </c>
      <c r="G89" s="25">
        <v>52.92</v>
      </c>
      <c r="H89" s="8" t="s">
        <v>12</v>
      </c>
      <c r="O89" s="9"/>
    </row>
    <row r="90" spans="1:15" ht="18.75" customHeight="1" x14ac:dyDescent="0.3">
      <c r="A90" s="5">
        <v>1</v>
      </c>
      <c r="B90" s="6">
        <v>45657</v>
      </c>
      <c r="C90" s="7" t="s">
        <v>19</v>
      </c>
      <c r="D90" s="8" t="s">
        <v>47</v>
      </c>
      <c r="E90" s="7" t="s">
        <v>48</v>
      </c>
      <c r="F90" s="7" t="s">
        <v>11</v>
      </c>
      <c r="G90" s="25">
        <v>85.5</v>
      </c>
      <c r="H90" s="8" t="s">
        <v>12</v>
      </c>
    </row>
    <row r="91" spans="1:15" ht="18.75" customHeight="1" x14ac:dyDescent="0.3">
      <c r="A91" s="5">
        <v>1</v>
      </c>
      <c r="B91" s="6">
        <v>45688</v>
      </c>
      <c r="C91" s="7" t="s">
        <v>19</v>
      </c>
      <c r="D91" s="8" t="s">
        <v>20</v>
      </c>
      <c r="E91" s="7" t="s">
        <v>21</v>
      </c>
      <c r="F91" s="7" t="s">
        <v>11</v>
      </c>
      <c r="G91" s="26">
        <v>4.04</v>
      </c>
      <c r="H91" s="8" t="s">
        <v>12</v>
      </c>
    </row>
    <row r="92" spans="1:15" ht="18.75" customHeight="1" x14ac:dyDescent="0.3">
      <c r="A92" s="5">
        <v>1</v>
      </c>
      <c r="B92" s="6">
        <v>45688</v>
      </c>
      <c r="C92" s="7" t="s">
        <v>19</v>
      </c>
      <c r="D92" s="8" t="s">
        <v>22</v>
      </c>
      <c r="E92" s="7" t="s">
        <v>23</v>
      </c>
      <c r="F92" s="7" t="s">
        <v>11</v>
      </c>
      <c r="G92" s="26">
        <v>73.739999999999995</v>
      </c>
      <c r="H92" s="8" t="s">
        <v>12</v>
      </c>
    </row>
    <row r="93" spans="1:15" ht="18.75" customHeight="1" x14ac:dyDescent="0.3">
      <c r="A93" s="12">
        <v>1</v>
      </c>
      <c r="B93" s="6">
        <v>45688</v>
      </c>
      <c r="C93" s="7" t="s">
        <v>19</v>
      </c>
      <c r="D93" s="8" t="s">
        <v>26</v>
      </c>
      <c r="E93" s="7" t="s">
        <v>27</v>
      </c>
      <c r="F93" s="7" t="s">
        <v>11</v>
      </c>
      <c r="G93" s="26">
        <v>111.10999999999999</v>
      </c>
      <c r="H93" s="8" t="s">
        <v>12</v>
      </c>
    </row>
    <row r="94" spans="1:15" ht="18.75" customHeight="1" x14ac:dyDescent="0.3">
      <c r="A94" s="5">
        <v>1</v>
      </c>
      <c r="B94" s="6">
        <v>45688</v>
      </c>
      <c r="C94" s="7" t="s">
        <v>19</v>
      </c>
      <c r="D94" s="8" t="s">
        <v>28</v>
      </c>
      <c r="E94" s="7" t="s">
        <v>29</v>
      </c>
      <c r="F94" s="7" t="s">
        <v>11</v>
      </c>
      <c r="G94" s="26">
        <v>297.79000000000002</v>
      </c>
      <c r="H94" s="8" t="s">
        <v>12</v>
      </c>
    </row>
    <row r="95" spans="1:15" ht="18.75" customHeight="1" x14ac:dyDescent="0.3">
      <c r="A95" s="5">
        <v>1</v>
      </c>
      <c r="B95" s="6">
        <v>45688</v>
      </c>
      <c r="C95" s="7" t="s">
        <v>19</v>
      </c>
      <c r="D95" s="8" t="s">
        <v>30</v>
      </c>
      <c r="E95" s="7" t="s">
        <v>31</v>
      </c>
      <c r="F95" s="7" t="s">
        <v>11</v>
      </c>
      <c r="G95" s="26">
        <v>70</v>
      </c>
      <c r="H95" s="8" t="s">
        <v>12</v>
      </c>
    </row>
    <row r="96" spans="1:15" ht="18.75" customHeight="1" x14ac:dyDescent="0.3">
      <c r="A96" s="5">
        <v>1</v>
      </c>
      <c r="B96" s="6">
        <v>45688</v>
      </c>
      <c r="C96" s="7" t="s">
        <v>8</v>
      </c>
      <c r="D96" s="8" t="s">
        <v>34</v>
      </c>
      <c r="E96" s="7" t="s">
        <v>10</v>
      </c>
      <c r="F96" s="7" t="s">
        <v>33</v>
      </c>
      <c r="G96" s="25">
        <v>436.34</v>
      </c>
      <c r="H96" s="8" t="s">
        <v>12</v>
      </c>
    </row>
    <row r="97" spans="1:8" ht="18.75" customHeight="1" x14ac:dyDescent="0.3">
      <c r="A97" s="5">
        <v>1</v>
      </c>
      <c r="B97" s="6">
        <v>45688</v>
      </c>
      <c r="C97" s="7" t="s">
        <v>19</v>
      </c>
      <c r="D97" s="8" t="s">
        <v>35</v>
      </c>
      <c r="E97" s="7" t="s">
        <v>36</v>
      </c>
      <c r="F97" s="7" t="s">
        <v>11</v>
      </c>
      <c r="G97" s="26">
        <v>177.25</v>
      </c>
      <c r="H97" s="8" t="s">
        <v>12</v>
      </c>
    </row>
    <row r="98" spans="1:8" ht="18.75" customHeight="1" x14ac:dyDescent="0.3">
      <c r="A98" s="5">
        <v>1</v>
      </c>
      <c r="B98" s="6">
        <v>45688</v>
      </c>
      <c r="C98" s="7" t="s">
        <v>19</v>
      </c>
      <c r="D98" s="8" t="s">
        <v>37</v>
      </c>
      <c r="E98" s="7" t="s">
        <v>38</v>
      </c>
      <c r="F98" s="7" t="s">
        <v>33</v>
      </c>
      <c r="G98" s="27">
        <v>1025.23</v>
      </c>
      <c r="H98" s="8" t="s">
        <v>12</v>
      </c>
    </row>
    <row r="99" spans="1:8" ht="18.75" customHeight="1" x14ac:dyDescent="0.3">
      <c r="A99" s="5">
        <v>1</v>
      </c>
      <c r="B99" s="6">
        <v>45688</v>
      </c>
      <c r="C99" s="7" t="s">
        <v>19</v>
      </c>
      <c r="D99" s="8" t="s">
        <v>39</v>
      </c>
      <c r="E99" s="7" t="s">
        <v>40</v>
      </c>
      <c r="F99" s="7" t="s">
        <v>11</v>
      </c>
      <c r="G99" s="26">
        <v>104.77</v>
      </c>
      <c r="H99" s="8" t="s">
        <v>12</v>
      </c>
    </row>
    <row r="100" spans="1:8" ht="18.75" customHeight="1" x14ac:dyDescent="0.3">
      <c r="A100" s="5">
        <v>1</v>
      </c>
      <c r="B100" s="6">
        <v>45688</v>
      </c>
      <c r="C100" s="7" t="s">
        <v>19</v>
      </c>
      <c r="D100" s="8" t="s">
        <v>44</v>
      </c>
      <c r="E100" s="7" t="s">
        <v>45</v>
      </c>
      <c r="F100" s="7" t="s">
        <v>11</v>
      </c>
      <c r="G100" s="26">
        <v>33.71</v>
      </c>
      <c r="H100" s="8" t="s">
        <v>12</v>
      </c>
    </row>
    <row r="101" spans="1:8" ht="18.75" customHeight="1" x14ac:dyDescent="0.3">
      <c r="A101" s="5">
        <v>1</v>
      </c>
      <c r="B101" s="6">
        <v>45688</v>
      </c>
      <c r="C101" s="7" t="s">
        <v>19</v>
      </c>
      <c r="D101" s="8" t="s">
        <v>47</v>
      </c>
      <c r="E101" s="7" t="s">
        <v>48</v>
      </c>
      <c r="F101" s="7" t="s">
        <v>11</v>
      </c>
      <c r="G101" s="26">
        <v>100.47</v>
      </c>
      <c r="H101" s="8" t="s">
        <v>12</v>
      </c>
    </row>
    <row r="102" spans="1:8" ht="18.75" customHeight="1" x14ac:dyDescent="0.3">
      <c r="A102" s="5">
        <v>1</v>
      </c>
      <c r="B102" s="6">
        <v>45694</v>
      </c>
      <c r="C102" s="7" t="s">
        <v>8</v>
      </c>
      <c r="D102" s="8" t="s">
        <v>24</v>
      </c>
      <c r="E102" s="7" t="s">
        <v>10</v>
      </c>
      <c r="F102" s="7" t="s">
        <v>11</v>
      </c>
      <c r="G102" s="25">
        <v>298.06</v>
      </c>
      <c r="H102" s="8" t="s">
        <v>12</v>
      </c>
    </row>
    <row r="103" spans="1:8" ht="18.75" customHeight="1" x14ac:dyDescent="0.3">
      <c r="A103" s="5">
        <v>1</v>
      </c>
      <c r="B103" s="6">
        <v>45716</v>
      </c>
      <c r="C103" s="7" t="s">
        <v>19</v>
      </c>
      <c r="D103" s="8" t="s">
        <v>20</v>
      </c>
      <c r="E103" s="7" t="s">
        <v>21</v>
      </c>
      <c r="F103" s="7" t="s">
        <v>11</v>
      </c>
      <c r="G103" s="26">
        <v>10.4</v>
      </c>
      <c r="H103" s="8" t="s">
        <v>12</v>
      </c>
    </row>
    <row r="104" spans="1:8" ht="18.75" customHeight="1" x14ac:dyDescent="0.3">
      <c r="A104" s="5">
        <v>1</v>
      </c>
      <c r="B104" s="6">
        <v>45716</v>
      </c>
      <c r="C104" s="7" t="s">
        <v>19</v>
      </c>
      <c r="D104" s="8" t="s">
        <v>22</v>
      </c>
      <c r="E104" s="7" t="s">
        <v>23</v>
      </c>
      <c r="F104" s="7" t="s">
        <v>11</v>
      </c>
      <c r="G104" s="26">
        <v>23.009999999999998</v>
      </c>
      <c r="H104" s="8" t="s">
        <v>12</v>
      </c>
    </row>
    <row r="105" spans="1:8" ht="18.75" customHeight="1" x14ac:dyDescent="0.3">
      <c r="A105" s="12">
        <v>1</v>
      </c>
      <c r="B105" s="6">
        <v>45716</v>
      </c>
      <c r="C105" s="7" t="s">
        <v>19</v>
      </c>
      <c r="D105" s="8" t="s">
        <v>26</v>
      </c>
      <c r="E105" s="7" t="s">
        <v>27</v>
      </c>
      <c r="F105" s="7" t="s">
        <v>11</v>
      </c>
      <c r="G105" s="26">
        <v>140.82</v>
      </c>
      <c r="H105" s="8" t="s">
        <v>12</v>
      </c>
    </row>
    <row r="106" spans="1:8" ht="18.75" customHeight="1" x14ac:dyDescent="0.3">
      <c r="A106" s="5">
        <v>1</v>
      </c>
      <c r="B106" s="6">
        <v>45716</v>
      </c>
      <c r="C106" s="7" t="s">
        <v>19</v>
      </c>
      <c r="D106" s="8" t="s">
        <v>28</v>
      </c>
      <c r="E106" s="7" t="s">
        <v>29</v>
      </c>
      <c r="F106" s="7" t="s">
        <v>11</v>
      </c>
      <c r="G106" s="26">
        <v>294</v>
      </c>
      <c r="H106" s="8" t="s">
        <v>12</v>
      </c>
    </row>
    <row r="107" spans="1:8" ht="18.75" customHeight="1" x14ac:dyDescent="0.3">
      <c r="A107" s="5">
        <v>1</v>
      </c>
      <c r="B107" s="6">
        <v>45716</v>
      </c>
      <c r="C107" s="7" t="s">
        <v>19</v>
      </c>
      <c r="D107" s="8" t="s">
        <v>30</v>
      </c>
      <c r="E107" s="7" t="s">
        <v>31</v>
      </c>
      <c r="F107" s="7" t="s">
        <v>11</v>
      </c>
      <c r="G107" s="26">
        <v>81.91</v>
      </c>
      <c r="H107" s="8" t="s">
        <v>12</v>
      </c>
    </row>
    <row r="108" spans="1:8" ht="18.75" customHeight="1" x14ac:dyDescent="0.3">
      <c r="A108" s="5">
        <v>1</v>
      </c>
      <c r="B108" s="6">
        <v>45716</v>
      </c>
      <c r="C108" s="7" t="s">
        <v>8</v>
      </c>
      <c r="D108" s="8" t="s">
        <v>34</v>
      </c>
      <c r="E108" s="7" t="s">
        <v>10</v>
      </c>
      <c r="F108" s="7" t="s">
        <v>33</v>
      </c>
      <c r="G108" s="25">
        <v>650.47</v>
      </c>
      <c r="H108" s="8" t="s">
        <v>12</v>
      </c>
    </row>
    <row r="109" spans="1:8" ht="18.75" customHeight="1" x14ac:dyDescent="0.3">
      <c r="A109" s="5">
        <v>1</v>
      </c>
      <c r="B109" s="6">
        <v>45716</v>
      </c>
      <c r="C109" s="7" t="s">
        <v>19</v>
      </c>
      <c r="D109" s="8" t="s">
        <v>35</v>
      </c>
      <c r="E109" s="7" t="s">
        <v>36</v>
      </c>
      <c r="F109" s="7" t="s">
        <v>11</v>
      </c>
      <c r="G109" s="26">
        <v>190.5</v>
      </c>
      <c r="H109" s="8" t="s">
        <v>12</v>
      </c>
    </row>
    <row r="110" spans="1:8" ht="18.75" customHeight="1" x14ac:dyDescent="0.3">
      <c r="A110" s="5">
        <v>1</v>
      </c>
      <c r="B110" s="6">
        <v>45716</v>
      </c>
      <c r="C110" s="7" t="s">
        <v>19</v>
      </c>
      <c r="D110" s="8" t="s">
        <v>37</v>
      </c>
      <c r="E110" s="7" t="s">
        <v>38</v>
      </c>
      <c r="F110" s="7" t="s">
        <v>33</v>
      </c>
      <c r="G110" s="27">
        <v>1025.23</v>
      </c>
      <c r="H110" s="8" t="s">
        <v>12</v>
      </c>
    </row>
    <row r="111" spans="1:8" ht="18.75" customHeight="1" x14ac:dyDescent="0.3">
      <c r="A111" s="5">
        <v>1</v>
      </c>
      <c r="B111" s="6">
        <v>45716</v>
      </c>
      <c r="C111" s="7" t="s">
        <v>19</v>
      </c>
      <c r="D111" s="8" t="s">
        <v>39</v>
      </c>
      <c r="E111" s="7" t="s">
        <v>40</v>
      </c>
      <c r="F111" s="7" t="s">
        <v>11</v>
      </c>
      <c r="G111" s="26">
        <v>-261.26</v>
      </c>
      <c r="H111" s="8" t="s">
        <v>12</v>
      </c>
    </row>
    <row r="112" spans="1:8" ht="18.75" customHeight="1" x14ac:dyDescent="0.3">
      <c r="A112" s="5">
        <v>1</v>
      </c>
      <c r="B112" s="6">
        <v>45716</v>
      </c>
      <c r="C112" s="7" t="s">
        <v>19</v>
      </c>
      <c r="D112" s="8" t="s">
        <v>44</v>
      </c>
      <c r="E112" s="7" t="s">
        <v>45</v>
      </c>
      <c r="F112" s="7" t="s">
        <v>11</v>
      </c>
      <c r="G112" s="26">
        <v>9.65</v>
      </c>
      <c r="H112" s="8" t="s">
        <v>12</v>
      </c>
    </row>
    <row r="113" spans="1:8" ht="18.75" customHeight="1" x14ac:dyDescent="0.3">
      <c r="A113" s="5">
        <v>1</v>
      </c>
      <c r="B113" s="6">
        <v>45716</v>
      </c>
      <c r="C113" s="7" t="s">
        <v>19</v>
      </c>
      <c r="D113" s="8" t="s">
        <v>47</v>
      </c>
      <c r="E113" s="7" t="s">
        <v>48</v>
      </c>
      <c r="F113" s="7" t="s">
        <v>11</v>
      </c>
      <c r="G113" s="26">
        <v>348.63</v>
      </c>
      <c r="H113" s="8" t="s">
        <v>12</v>
      </c>
    </row>
    <row r="114" spans="1:8" ht="18.75" customHeight="1" x14ac:dyDescent="0.3">
      <c r="A114" s="5">
        <v>1</v>
      </c>
      <c r="B114" s="6">
        <v>45747</v>
      </c>
      <c r="C114" s="7" t="s">
        <v>19</v>
      </c>
      <c r="D114" s="8" t="s">
        <v>20</v>
      </c>
      <c r="E114" s="7" t="s">
        <v>21</v>
      </c>
      <c r="F114" s="7" t="s">
        <v>11</v>
      </c>
      <c r="G114" s="26">
        <v>7.8</v>
      </c>
      <c r="H114" s="8" t="s">
        <v>12</v>
      </c>
    </row>
    <row r="115" spans="1:8" ht="18.75" customHeight="1" x14ac:dyDescent="0.3">
      <c r="A115" s="5">
        <v>1</v>
      </c>
      <c r="B115" s="6">
        <v>45747</v>
      </c>
      <c r="C115" s="7" t="s">
        <v>19</v>
      </c>
      <c r="D115" s="8" t="s">
        <v>22</v>
      </c>
      <c r="E115" s="7" t="s">
        <v>23</v>
      </c>
      <c r="F115" s="7" t="s">
        <v>11</v>
      </c>
      <c r="G115" s="26">
        <v>109.78</v>
      </c>
      <c r="H115" s="8" t="s">
        <v>12</v>
      </c>
    </row>
    <row r="116" spans="1:8" ht="18.75" customHeight="1" x14ac:dyDescent="0.3">
      <c r="A116" s="12">
        <v>1</v>
      </c>
      <c r="B116" s="6">
        <v>45747</v>
      </c>
      <c r="C116" s="7" t="s">
        <v>19</v>
      </c>
      <c r="D116" s="8" t="s">
        <v>26</v>
      </c>
      <c r="E116" s="7" t="s">
        <v>27</v>
      </c>
      <c r="F116" s="7" t="s">
        <v>11</v>
      </c>
      <c r="G116" s="26">
        <v>146.88999999999999</v>
      </c>
      <c r="H116" s="8" t="s">
        <v>12</v>
      </c>
    </row>
    <row r="117" spans="1:8" ht="18.75" customHeight="1" x14ac:dyDescent="0.3">
      <c r="A117" s="5">
        <v>1</v>
      </c>
      <c r="B117" s="6">
        <v>45747</v>
      </c>
      <c r="C117" s="7" t="s">
        <v>19</v>
      </c>
      <c r="D117" s="8" t="s">
        <v>28</v>
      </c>
      <c r="E117" s="7" t="s">
        <v>29</v>
      </c>
      <c r="F117" s="7" t="s">
        <v>11</v>
      </c>
      <c r="G117" s="26">
        <v>283</v>
      </c>
      <c r="H117" s="8" t="s">
        <v>12</v>
      </c>
    </row>
    <row r="118" spans="1:8" ht="18.75" customHeight="1" x14ac:dyDescent="0.3">
      <c r="A118" s="5">
        <v>1</v>
      </c>
      <c r="B118" s="6">
        <v>45747</v>
      </c>
      <c r="C118" s="7" t="s">
        <v>19</v>
      </c>
      <c r="D118" s="8" t="s">
        <v>35</v>
      </c>
      <c r="E118" s="7" t="s">
        <v>36</v>
      </c>
      <c r="F118" s="7" t="s">
        <v>11</v>
      </c>
      <c r="G118" s="26">
        <v>305.67</v>
      </c>
      <c r="H118" s="8" t="s">
        <v>12</v>
      </c>
    </row>
    <row r="119" spans="1:8" ht="18.75" customHeight="1" x14ac:dyDescent="0.3">
      <c r="A119" s="5">
        <v>1</v>
      </c>
      <c r="B119" s="6">
        <v>45747</v>
      </c>
      <c r="C119" s="7" t="s">
        <v>19</v>
      </c>
      <c r="D119" s="8" t="s">
        <v>37</v>
      </c>
      <c r="E119" s="7" t="s">
        <v>38</v>
      </c>
      <c r="F119" s="7" t="s">
        <v>33</v>
      </c>
      <c r="G119" s="27">
        <v>1025.23</v>
      </c>
      <c r="H119" s="8" t="s">
        <v>12</v>
      </c>
    </row>
    <row r="120" spans="1:8" ht="18.75" customHeight="1" x14ac:dyDescent="0.3">
      <c r="A120" s="5">
        <v>1</v>
      </c>
      <c r="B120" s="6">
        <v>45747</v>
      </c>
      <c r="C120" s="7" t="s">
        <v>19</v>
      </c>
      <c r="D120" s="8" t="s">
        <v>39</v>
      </c>
      <c r="E120" s="7" t="s">
        <v>40</v>
      </c>
      <c r="F120" s="7" t="s">
        <v>11</v>
      </c>
      <c r="G120" s="26">
        <v>-54.55</v>
      </c>
      <c r="H120" s="8" t="s">
        <v>12</v>
      </c>
    </row>
    <row r="121" spans="1:8" ht="18.75" customHeight="1" x14ac:dyDescent="0.3">
      <c r="A121" s="5">
        <v>1</v>
      </c>
      <c r="B121" s="6">
        <v>45747</v>
      </c>
      <c r="C121" s="7" t="s">
        <v>19</v>
      </c>
      <c r="D121" s="8" t="s">
        <v>47</v>
      </c>
      <c r="E121" s="7" t="s">
        <v>48</v>
      </c>
      <c r="F121" s="7" t="s">
        <v>11</v>
      </c>
      <c r="G121" s="26">
        <v>381.3</v>
      </c>
      <c r="H121" s="8" t="s">
        <v>12</v>
      </c>
    </row>
    <row r="122" spans="1:8" ht="18.75" customHeight="1" x14ac:dyDescent="0.3">
      <c r="A122" s="5">
        <v>1</v>
      </c>
      <c r="B122" s="6">
        <v>45777</v>
      </c>
      <c r="C122" s="7" t="s">
        <v>19</v>
      </c>
      <c r="D122" s="8" t="s">
        <v>20</v>
      </c>
      <c r="E122" s="7" t="s">
        <v>21</v>
      </c>
      <c r="F122" s="7" t="s">
        <v>11</v>
      </c>
      <c r="G122" s="26">
        <v>7.29</v>
      </c>
      <c r="H122" s="8" t="s">
        <v>12</v>
      </c>
    </row>
    <row r="123" spans="1:8" ht="18.75" customHeight="1" x14ac:dyDescent="0.3">
      <c r="A123" s="5">
        <v>1</v>
      </c>
      <c r="B123" s="6">
        <v>45777</v>
      </c>
      <c r="C123" s="7" t="s">
        <v>19</v>
      </c>
      <c r="D123" s="8" t="s">
        <v>22</v>
      </c>
      <c r="E123" s="7" t="s">
        <v>23</v>
      </c>
      <c r="F123" s="7" t="s">
        <v>11</v>
      </c>
      <c r="G123" s="26">
        <v>215.47</v>
      </c>
      <c r="H123" s="8" t="s">
        <v>12</v>
      </c>
    </row>
    <row r="124" spans="1:8" ht="18.75" customHeight="1" x14ac:dyDescent="0.3">
      <c r="A124" s="12">
        <v>1</v>
      </c>
      <c r="B124" s="6">
        <v>45777</v>
      </c>
      <c r="C124" s="7" t="s">
        <v>19</v>
      </c>
      <c r="D124" s="8" t="s">
        <v>26</v>
      </c>
      <c r="E124" s="7" t="s">
        <v>27</v>
      </c>
      <c r="F124" s="7" t="s">
        <v>11</v>
      </c>
      <c r="G124" s="26">
        <v>165.04</v>
      </c>
      <c r="H124" s="8" t="s">
        <v>12</v>
      </c>
    </row>
    <row r="125" spans="1:8" ht="18.75" customHeight="1" x14ac:dyDescent="0.3">
      <c r="A125" s="5">
        <v>1</v>
      </c>
      <c r="B125" s="6">
        <v>45777</v>
      </c>
      <c r="C125" s="7" t="s">
        <v>19</v>
      </c>
      <c r="D125" s="8" t="s">
        <v>28</v>
      </c>
      <c r="E125" s="7" t="s">
        <v>29</v>
      </c>
      <c r="F125" s="7" t="s">
        <v>11</v>
      </c>
      <c r="G125" s="26">
        <v>284</v>
      </c>
      <c r="H125" s="8" t="s">
        <v>12</v>
      </c>
    </row>
    <row r="126" spans="1:8" ht="18.75" customHeight="1" x14ac:dyDescent="0.3">
      <c r="A126" s="5">
        <v>1</v>
      </c>
      <c r="B126" s="6">
        <v>45777</v>
      </c>
      <c r="C126" s="7" t="s">
        <v>19</v>
      </c>
      <c r="D126" s="8" t="s">
        <v>30</v>
      </c>
      <c r="E126" s="7" t="s">
        <v>31</v>
      </c>
      <c r="F126" s="7" t="s">
        <v>11</v>
      </c>
      <c r="G126" s="26">
        <v>60</v>
      </c>
      <c r="H126" s="8" t="s">
        <v>12</v>
      </c>
    </row>
    <row r="127" spans="1:8" ht="18.75" customHeight="1" x14ac:dyDescent="0.3">
      <c r="A127" s="5">
        <v>1</v>
      </c>
      <c r="B127" s="6">
        <v>45777</v>
      </c>
      <c r="C127" s="7" t="s">
        <v>19</v>
      </c>
      <c r="D127" s="8" t="s">
        <v>35</v>
      </c>
      <c r="E127" s="7" t="s">
        <v>36</v>
      </c>
      <c r="F127" s="7" t="s">
        <v>11</v>
      </c>
      <c r="G127" s="26">
        <v>142.61000000000001</v>
      </c>
      <c r="H127" s="8" t="s">
        <v>12</v>
      </c>
    </row>
    <row r="128" spans="1:8" ht="18.75" customHeight="1" x14ac:dyDescent="0.3">
      <c r="A128" s="5">
        <v>1</v>
      </c>
      <c r="B128" s="6">
        <v>45777</v>
      </c>
      <c r="C128" s="7" t="s">
        <v>19</v>
      </c>
      <c r="D128" s="8" t="s">
        <v>37</v>
      </c>
      <c r="E128" s="7" t="s">
        <v>38</v>
      </c>
      <c r="F128" s="7" t="s">
        <v>33</v>
      </c>
      <c r="G128" s="27">
        <v>1115.19</v>
      </c>
      <c r="H128" s="8" t="s">
        <v>12</v>
      </c>
    </row>
    <row r="129" spans="1:8" ht="18.75" customHeight="1" x14ac:dyDescent="0.3">
      <c r="A129" s="5">
        <v>1</v>
      </c>
      <c r="B129" s="6">
        <v>45777</v>
      </c>
      <c r="C129" s="7" t="s">
        <v>19</v>
      </c>
      <c r="D129" s="8" t="s">
        <v>37</v>
      </c>
      <c r="E129" s="7" t="s">
        <v>38</v>
      </c>
      <c r="F129" s="7" t="s">
        <v>33</v>
      </c>
      <c r="G129" s="27">
        <v>1115.19</v>
      </c>
      <c r="H129" s="8" t="s">
        <v>12</v>
      </c>
    </row>
    <row r="130" spans="1:8" ht="18.75" customHeight="1" x14ac:dyDescent="0.3">
      <c r="A130" s="5">
        <v>1</v>
      </c>
      <c r="B130" s="6">
        <v>45777</v>
      </c>
      <c r="C130" s="7" t="s">
        <v>19</v>
      </c>
      <c r="D130" s="8" t="s">
        <v>39</v>
      </c>
      <c r="E130" s="7" t="s">
        <v>40</v>
      </c>
      <c r="F130" s="7" t="s">
        <v>11</v>
      </c>
      <c r="G130" s="26">
        <v>110.52999999999999</v>
      </c>
      <c r="H130" s="8" t="s">
        <v>12</v>
      </c>
    </row>
    <row r="131" spans="1:8" ht="18.75" customHeight="1" x14ac:dyDescent="0.3">
      <c r="A131" s="5">
        <v>1</v>
      </c>
      <c r="B131" s="6">
        <v>45777</v>
      </c>
      <c r="C131" s="7" t="s">
        <v>19</v>
      </c>
      <c r="D131" s="8" t="s">
        <v>44</v>
      </c>
      <c r="E131" s="7" t="s">
        <v>45</v>
      </c>
      <c r="F131" s="7" t="s">
        <v>11</v>
      </c>
      <c r="G131" s="26">
        <v>54.209999999999994</v>
      </c>
      <c r="H131" s="8" t="s">
        <v>12</v>
      </c>
    </row>
    <row r="132" spans="1:8" ht="18.75" customHeight="1" x14ac:dyDescent="0.3">
      <c r="A132" s="5">
        <v>1</v>
      </c>
      <c r="B132" s="6">
        <v>45777</v>
      </c>
      <c r="C132" s="7" t="s">
        <v>19</v>
      </c>
      <c r="D132" s="8" t="s">
        <v>47</v>
      </c>
      <c r="E132" s="7" t="s">
        <v>48</v>
      </c>
      <c r="F132" s="7" t="s">
        <v>11</v>
      </c>
      <c r="G132" s="26">
        <v>201.54000000000002</v>
      </c>
      <c r="H132" s="8" t="s">
        <v>12</v>
      </c>
    </row>
    <row r="133" spans="1:8" ht="18.75" customHeight="1" x14ac:dyDescent="0.3">
      <c r="A133" s="5">
        <v>1</v>
      </c>
      <c r="B133" s="6">
        <v>45808</v>
      </c>
      <c r="C133" s="7" t="s">
        <v>19</v>
      </c>
      <c r="D133" s="8" t="s">
        <v>22</v>
      </c>
      <c r="E133" s="7" t="s">
        <v>23</v>
      </c>
      <c r="F133" s="7" t="s">
        <v>11</v>
      </c>
      <c r="G133" s="26">
        <v>63.94</v>
      </c>
      <c r="H133" s="8" t="s">
        <v>12</v>
      </c>
    </row>
    <row r="134" spans="1:8" ht="18.75" customHeight="1" x14ac:dyDescent="0.3">
      <c r="A134" s="12">
        <v>1</v>
      </c>
      <c r="B134" s="6">
        <v>45808</v>
      </c>
      <c r="C134" s="7" t="s">
        <v>19</v>
      </c>
      <c r="D134" s="8" t="s">
        <v>26</v>
      </c>
      <c r="E134" s="7" t="s">
        <v>27</v>
      </c>
      <c r="F134" s="7" t="s">
        <v>11</v>
      </c>
      <c r="G134" s="26">
        <v>169.24999999999997</v>
      </c>
      <c r="H134" s="8" t="s">
        <v>12</v>
      </c>
    </row>
    <row r="135" spans="1:8" ht="18.75" customHeight="1" x14ac:dyDescent="0.3">
      <c r="A135" s="5">
        <v>1</v>
      </c>
      <c r="B135" s="6">
        <v>45808</v>
      </c>
      <c r="C135" s="7" t="s">
        <v>19</v>
      </c>
      <c r="D135" s="8" t="s">
        <v>28</v>
      </c>
      <c r="E135" s="7" t="s">
        <v>29</v>
      </c>
      <c r="F135" s="7" t="s">
        <v>11</v>
      </c>
      <c r="G135" s="26">
        <v>284.67</v>
      </c>
      <c r="H135" s="8" t="s">
        <v>12</v>
      </c>
    </row>
    <row r="136" spans="1:8" ht="18.75" customHeight="1" x14ac:dyDescent="0.3">
      <c r="A136" s="5">
        <v>1</v>
      </c>
      <c r="B136" s="6">
        <v>45808</v>
      </c>
      <c r="C136" s="7" t="s">
        <v>19</v>
      </c>
      <c r="D136" s="8" t="s">
        <v>30</v>
      </c>
      <c r="E136" s="7" t="s">
        <v>31</v>
      </c>
      <c r="F136" s="7" t="s">
        <v>11</v>
      </c>
      <c r="G136" s="26">
        <v>70</v>
      </c>
      <c r="H136" s="8" t="s">
        <v>12</v>
      </c>
    </row>
    <row r="137" spans="1:8" ht="18.75" customHeight="1" x14ac:dyDescent="0.3">
      <c r="A137" s="5">
        <v>1</v>
      </c>
      <c r="B137" s="6">
        <v>45808</v>
      </c>
      <c r="C137" s="7" t="s">
        <v>8</v>
      </c>
      <c r="D137" s="8" t="s">
        <v>34</v>
      </c>
      <c r="E137" s="7" t="s">
        <v>10</v>
      </c>
      <c r="F137" s="7" t="s">
        <v>33</v>
      </c>
      <c r="G137" s="25">
        <v>102.54</v>
      </c>
      <c r="H137" s="8" t="s">
        <v>12</v>
      </c>
    </row>
    <row r="138" spans="1:8" ht="18.75" customHeight="1" x14ac:dyDescent="0.3">
      <c r="A138" s="5">
        <v>1</v>
      </c>
      <c r="B138" s="6">
        <v>45808</v>
      </c>
      <c r="C138" s="7" t="s">
        <v>19</v>
      </c>
      <c r="D138" s="8" t="s">
        <v>35</v>
      </c>
      <c r="E138" s="7" t="s">
        <v>36</v>
      </c>
      <c r="F138" s="7" t="s">
        <v>11</v>
      </c>
      <c r="G138" s="26">
        <v>181.86</v>
      </c>
      <c r="H138" s="8" t="s">
        <v>12</v>
      </c>
    </row>
    <row r="139" spans="1:8" ht="18.75" customHeight="1" x14ac:dyDescent="0.3">
      <c r="A139" s="5">
        <v>1</v>
      </c>
      <c r="B139" s="6">
        <v>45808</v>
      </c>
      <c r="C139" s="7" t="s">
        <v>19</v>
      </c>
      <c r="D139" s="8" t="s">
        <v>39</v>
      </c>
      <c r="E139" s="7" t="s">
        <v>40</v>
      </c>
      <c r="F139" s="7" t="s">
        <v>11</v>
      </c>
      <c r="G139" s="26">
        <v>134.01</v>
      </c>
      <c r="H139" s="8" t="s">
        <v>12</v>
      </c>
    </row>
    <row r="140" spans="1:8" ht="18.75" customHeight="1" x14ac:dyDescent="0.3">
      <c r="A140" s="5">
        <v>1</v>
      </c>
      <c r="B140" s="6">
        <v>45808</v>
      </c>
      <c r="C140" s="7" t="s">
        <v>19</v>
      </c>
      <c r="D140" s="8" t="s">
        <v>44</v>
      </c>
      <c r="E140" s="7" t="s">
        <v>45</v>
      </c>
      <c r="F140" s="7" t="s">
        <v>11</v>
      </c>
      <c r="G140" s="26">
        <v>38.57</v>
      </c>
      <c r="H140" s="8" t="s">
        <v>12</v>
      </c>
    </row>
    <row r="141" spans="1:8" ht="18.75" customHeight="1" x14ac:dyDescent="0.3">
      <c r="A141" s="5">
        <v>1</v>
      </c>
      <c r="B141" s="6">
        <v>45808</v>
      </c>
      <c r="C141" s="7" t="s">
        <v>19</v>
      </c>
      <c r="D141" s="8" t="s">
        <v>47</v>
      </c>
      <c r="E141" s="7" t="s">
        <v>48</v>
      </c>
      <c r="F141" s="7" t="s">
        <v>11</v>
      </c>
      <c r="G141" s="26">
        <v>341.1</v>
      </c>
      <c r="H141" s="8" t="s">
        <v>12</v>
      </c>
    </row>
    <row r="142" spans="1:8" ht="18.75" customHeight="1" x14ac:dyDescent="0.3">
      <c r="A142" s="5">
        <v>1</v>
      </c>
      <c r="B142" s="6">
        <v>45838</v>
      </c>
      <c r="C142" s="7" t="s">
        <v>19</v>
      </c>
      <c r="D142" s="8" t="s">
        <v>20</v>
      </c>
      <c r="E142" s="7" t="s">
        <v>21</v>
      </c>
      <c r="F142" s="7" t="s">
        <v>11</v>
      </c>
      <c r="G142" s="26">
        <v>29.5</v>
      </c>
      <c r="H142" s="8" t="s">
        <v>12</v>
      </c>
    </row>
    <row r="143" spans="1:8" ht="18.75" customHeight="1" x14ac:dyDescent="0.3">
      <c r="A143" s="5">
        <v>1</v>
      </c>
      <c r="B143" s="6">
        <v>45838</v>
      </c>
      <c r="C143" s="7" t="s">
        <v>19</v>
      </c>
      <c r="D143" s="8" t="s">
        <v>22</v>
      </c>
      <c r="E143" s="7" t="s">
        <v>23</v>
      </c>
      <c r="F143" s="7" t="s">
        <v>11</v>
      </c>
      <c r="G143" s="26">
        <v>200.35</v>
      </c>
      <c r="H143" s="8" t="s">
        <v>12</v>
      </c>
    </row>
    <row r="144" spans="1:8" ht="18.75" customHeight="1" x14ac:dyDescent="0.3">
      <c r="A144" s="12">
        <v>1</v>
      </c>
      <c r="B144" s="6">
        <v>45838</v>
      </c>
      <c r="C144" s="7" t="s">
        <v>19</v>
      </c>
      <c r="D144" s="8" t="s">
        <v>26</v>
      </c>
      <c r="E144" s="7" t="s">
        <v>27</v>
      </c>
      <c r="F144" s="7" t="s">
        <v>11</v>
      </c>
      <c r="G144" s="26">
        <v>92.249999999999986</v>
      </c>
      <c r="H144" s="8" t="s">
        <v>12</v>
      </c>
    </row>
    <row r="145" spans="1:8" ht="18.75" customHeight="1" x14ac:dyDescent="0.3">
      <c r="A145" s="5">
        <v>1</v>
      </c>
      <c r="B145" s="6">
        <v>45838</v>
      </c>
      <c r="C145" s="7" t="s">
        <v>19</v>
      </c>
      <c r="D145" s="8" t="s">
        <v>28</v>
      </c>
      <c r="E145" s="7" t="s">
        <v>29</v>
      </c>
      <c r="F145" s="7" t="s">
        <v>11</v>
      </c>
      <c r="G145" s="26">
        <v>274</v>
      </c>
      <c r="H145" s="8" t="s">
        <v>12</v>
      </c>
    </row>
    <row r="146" spans="1:8" ht="18.75" customHeight="1" x14ac:dyDescent="0.3">
      <c r="A146" s="5">
        <v>1</v>
      </c>
      <c r="B146" s="6">
        <v>45838</v>
      </c>
      <c r="C146" s="7" t="s">
        <v>19</v>
      </c>
      <c r="D146" s="8" t="s">
        <v>35</v>
      </c>
      <c r="E146" s="7" t="s">
        <v>36</v>
      </c>
      <c r="F146" s="7" t="s">
        <v>11</v>
      </c>
      <c r="G146" s="26">
        <v>139.11000000000001</v>
      </c>
      <c r="H146" s="8" t="s">
        <v>12</v>
      </c>
    </row>
    <row r="147" spans="1:8" ht="18.75" customHeight="1" x14ac:dyDescent="0.3">
      <c r="A147" s="5">
        <v>1</v>
      </c>
      <c r="B147" s="6">
        <v>45838</v>
      </c>
      <c r="C147" s="7" t="s">
        <v>19</v>
      </c>
      <c r="D147" s="8" t="s">
        <v>37</v>
      </c>
      <c r="E147" s="7" t="s">
        <v>38</v>
      </c>
      <c r="F147" s="7" t="s">
        <v>33</v>
      </c>
      <c r="G147" s="27">
        <v>1115.19</v>
      </c>
      <c r="H147" s="8" t="s">
        <v>12</v>
      </c>
    </row>
    <row r="148" spans="1:8" ht="18.75" customHeight="1" x14ac:dyDescent="0.3">
      <c r="A148" s="5">
        <v>1</v>
      </c>
      <c r="B148" s="6">
        <v>45838</v>
      </c>
      <c r="C148" s="7" t="s">
        <v>19</v>
      </c>
      <c r="D148" s="8" t="s">
        <v>39</v>
      </c>
      <c r="E148" s="7" t="s">
        <v>40</v>
      </c>
      <c r="F148" s="7" t="s">
        <v>11</v>
      </c>
      <c r="G148" s="26">
        <v>84.68</v>
      </c>
      <c r="H148" s="8" t="s">
        <v>12</v>
      </c>
    </row>
    <row r="149" spans="1:8" ht="18.75" customHeight="1" x14ac:dyDescent="0.3">
      <c r="A149" s="5">
        <v>1</v>
      </c>
      <c r="B149" s="6">
        <v>45838</v>
      </c>
      <c r="C149" s="7" t="s">
        <v>19</v>
      </c>
      <c r="D149" s="8" t="s">
        <v>44</v>
      </c>
      <c r="E149" s="7" t="s">
        <v>45</v>
      </c>
      <c r="F149" s="7" t="s">
        <v>11</v>
      </c>
      <c r="G149" s="26">
        <v>29.22</v>
      </c>
      <c r="H149" s="8" t="s">
        <v>12</v>
      </c>
    </row>
    <row r="150" spans="1:8" ht="18.75" customHeight="1" x14ac:dyDescent="0.3">
      <c r="A150" s="5">
        <v>1</v>
      </c>
      <c r="B150" s="6">
        <v>45838</v>
      </c>
      <c r="C150" s="7" t="s">
        <v>19</v>
      </c>
      <c r="D150" s="8" t="s">
        <v>47</v>
      </c>
      <c r="E150" s="7" t="s">
        <v>48</v>
      </c>
      <c r="F150" s="7" t="s">
        <v>11</v>
      </c>
      <c r="G150" s="26">
        <v>348.8</v>
      </c>
      <c r="H150" s="8" t="s">
        <v>12</v>
      </c>
    </row>
    <row r="151" spans="1:8" ht="18.75" customHeight="1" x14ac:dyDescent="0.3">
      <c r="A151" s="5">
        <v>1</v>
      </c>
      <c r="B151" s="6">
        <v>45869</v>
      </c>
      <c r="C151" s="7" t="s">
        <v>19</v>
      </c>
      <c r="D151" s="8" t="s">
        <v>20</v>
      </c>
      <c r="E151" s="7" t="s">
        <v>21</v>
      </c>
      <c r="F151" s="7" t="s">
        <v>11</v>
      </c>
      <c r="G151" s="26">
        <v>7.67</v>
      </c>
      <c r="H151" s="8" t="s">
        <v>12</v>
      </c>
    </row>
    <row r="152" spans="1:8" ht="18.75" customHeight="1" x14ac:dyDescent="0.3">
      <c r="A152" s="5">
        <v>1</v>
      </c>
      <c r="B152" s="6">
        <v>45869</v>
      </c>
      <c r="C152" s="7" t="s">
        <v>19</v>
      </c>
      <c r="D152" s="8" t="s">
        <v>22</v>
      </c>
      <c r="E152" s="7" t="s">
        <v>23</v>
      </c>
      <c r="F152" s="7" t="s">
        <v>11</v>
      </c>
      <c r="G152" s="26">
        <v>73.97999999999999</v>
      </c>
      <c r="H152" s="8" t="s">
        <v>12</v>
      </c>
    </row>
    <row r="153" spans="1:8" ht="18.75" customHeight="1" x14ac:dyDescent="0.3">
      <c r="A153" s="12">
        <v>1</v>
      </c>
      <c r="B153" s="6">
        <v>45869</v>
      </c>
      <c r="C153" s="7" t="s">
        <v>19</v>
      </c>
      <c r="D153" s="8" t="s">
        <v>26</v>
      </c>
      <c r="E153" s="7" t="s">
        <v>27</v>
      </c>
      <c r="F153" s="7" t="s">
        <v>11</v>
      </c>
      <c r="G153" s="26">
        <v>142.59</v>
      </c>
      <c r="H153" s="8" t="s">
        <v>12</v>
      </c>
    </row>
    <row r="154" spans="1:8" ht="18.75" customHeight="1" x14ac:dyDescent="0.3">
      <c r="A154" s="5">
        <v>1</v>
      </c>
      <c r="B154" s="6">
        <v>45869</v>
      </c>
      <c r="C154" s="7" t="s">
        <v>19</v>
      </c>
      <c r="D154" s="8" t="s">
        <v>28</v>
      </c>
      <c r="E154" s="7" t="s">
        <v>29</v>
      </c>
      <c r="F154" s="7" t="s">
        <v>11</v>
      </c>
      <c r="G154" s="26">
        <v>311.03999999999996</v>
      </c>
      <c r="H154" s="8" t="s">
        <v>12</v>
      </c>
    </row>
    <row r="155" spans="1:8" ht="18.75" customHeight="1" x14ac:dyDescent="0.3">
      <c r="A155" s="5">
        <v>1</v>
      </c>
      <c r="B155" s="6">
        <v>45869</v>
      </c>
      <c r="C155" s="7" t="s">
        <v>19</v>
      </c>
      <c r="D155" s="8" t="s">
        <v>30</v>
      </c>
      <c r="E155" s="7" t="s">
        <v>31</v>
      </c>
      <c r="F155" s="7" t="s">
        <v>11</v>
      </c>
      <c r="G155" s="26">
        <v>60</v>
      </c>
      <c r="H155" s="8" t="s">
        <v>12</v>
      </c>
    </row>
    <row r="156" spans="1:8" ht="18.75" customHeight="1" x14ac:dyDescent="0.3">
      <c r="A156" s="5">
        <v>1</v>
      </c>
      <c r="B156" s="6">
        <v>45869</v>
      </c>
      <c r="C156" s="7" t="s">
        <v>8</v>
      </c>
      <c r="D156" s="8" t="s">
        <v>34</v>
      </c>
      <c r="E156" s="7" t="s">
        <v>10</v>
      </c>
      <c r="F156" s="7" t="s">
        <v>33</v>
      </c>
      <c r="G156" s="25">
        <v>248.09</v>
      </c>
      <c r="H156" s="8" t="s">
        <v>12</v>
      </c>
    </row>
    <row r="157" spans="1:8" ht="18.75" customHeight="1" x14ac:dyDescent="0.3">
      <c r="A157" s="5">
        <v>1</v>
      </c>
      <c r="B157" s="6">
        <v>45869</v>
      </c>
      <c r="C157" s="7" t="s">
        <v>19</v>
      </c>
      <c r="D157" s="8" t="s">
        <v>35</v>
      </c>
      <c r="E157" s="7" t="s">
        <v>36</v>
      </c>
      <c r="F157" s="7" t="s">
        <v>11</v>
      </c>
      <c r="G157" s="26">
        <v>159.24</v>
      </c>
      <c r="H157" s="8" t="s">
        <v>12</v>
      </c>
    </row>
    <row r="158" spans="1:8" ht="18.75" customHeight="1" x14ac:dyDescent="0.3">
      <c r="A158" s="5">
        <v>1</v>
      </c>
      <c r="B158" s="6">
        <v>45869</v>
      </c>
      <c r="C158" s="7" t="s">
        <v>19</v>
      </c>
      <c r="D158" s="8" t="s">
        <v>37</v>
      </c>
      <c r="E158" s="7" t="s">
        <v>38</v>
      </c>
      <c r="F158" s="7" t="s">
        <v>33</v>
      </c>
      <c r="G158" s="27">
        <v>1115.19</v>
      </c>
      <c r="H158" s="8" t="s">
        <v>12</v>
      </c>
    </row>
    <row r="159" spans="1:8" ht="18.75" customHeight="1" x14ac:dyDescent="0.3">
      <c r="A159" s="5">
        <v>1</v>
      </c>
      <c r="B159" s="6">
        <v>45869</v>
      </c>
      <c r="C159" s="7" t="s">
        <v>19</v>
      </c>
      <c r="D159" s="8" t="s">
        <v>39</v>
      </c>
      <c r="E159" s="7" t="s">
        <v>40</v>
      </c>
      <c r="F159" s="7" t="s">
        <v>11</v>
      </c>
      <c r="G159" s="26">
        <v>101.15999999999998</v>
      </c>
      <c r="H159" s="8" t="s">
        <v>12</v>
      </c>
    </row>
    <row r="160" spans="1:8" ht="18.75" customHeight="1" x14ac:dyDescent="0.3">
      <c r="A160" s="5">
        <v>1</v>
      </c>
      <c r="B160" s="6">
        <v>45869</v>
      </c>
      <c r="C160" s="7" t="s">
        <v>19</v>
      </c>
      <c r="D160" s="8" t="s">
        <v>44</v>
      </c>
      <c r="E160" s="7" t="s">
        <v>45</v>
      </c>
      <c r="F160" s="7" t="s">
        <v>11</v>
      </c>
      <c r="G160" s="26">
        <v>28.8</v>
      </c>
      <c r="H160" s="8" t="s">
        <v>12</v>
      </c>
    </row>
    <row r="161" spans="1:8" ht="18.75" customHeight="1" x14ac:dyDescent="0.3">
      <c r="A161" s="5">
        <v>1</v>
      </c>
      <c r="B161" s="6">
        <v>45869</v>
      </c>
      <c r="C161" s="7" t="s">
        <v>19</v>
      </c>
      <c r="D161" s="8" t="s">
        <v>47</v>
      </c>
      <c r="E161" s="7" t="s">
        <v>48</v>
      </c>
      <c r="F161" s="7" t="s">
        <v>11</v>
      </c>
      <c r="G161" s="26">
        <v>501.34000000000003</v>
      </c>
      <c r="H161" s="8" t="s">
        <v>12</v>
      </c>
    </row>
    <row r="162" spans="1:8" ht="18.75" customHeight="1" x14ac:dyDescent="0.3">
      <c r="A162" s="5">
        <v>1</v>
      </c>
      <c r="B162" s="6">
        <v>45875</v>
      </c>
      <c r="C162" s="7" t="s">
        <v>8</v>
      </c>
      <c r="D162" s="8" t="s">
        <v>25</v>
      </c>
      <c r="E162" s="7" t="s">
        <v>10</v>
      </c>
      <c r="F162" s="7" t="s">
        <v>11</v>
      </c>
      <c r="G162" s="25">
        <v>338.05</v>
      </c>
      <c r="H162" s="8" t="s">
        <v>12</v>
      </c>
    </row>
    <row r="163" spans="1:8" ht="18.75" customHeight="1" x14ac:dyDescent="0.3">
      <c r="A163" s="5">
        <v>1</v>
      </c>
      <c r="B163" s="6">
        <v>45900</v>
      </c>
      <c r="C163" s="7" t="s">
        <v>19</v>
      </c>
      <c r="D163" s="8" t="s">
        <v>20</v>
      </c>
      <c r="E163" s="7" t="s">
        <v>21</v>
      </c>
      <c r="F163" s="7" t="s">
        <v>11</v>
      </c>
      <c r="G163" s="26">
        <v>0</v>
      </c>
      <c r="H163" s="8" t="s">
        <v>12</v>
      </c>
    </row>
    <row r="164" spans="1:8" ht="18.75" customHeight="1" x14ac:dyDescent="0.3">
      <c r="A164" s="5">
        <v>1</v>
      </c>
      <c r="B164" s="6">
        <v>45900</v>
      </c>
      <c r="C164" s="7" t="s">
        <v>19</v>
      </c>
      <c r="D164" s="8" t="s">
        <v>22</v>
      </c>
      <c r="E164" s="7" t="s">
        <v>23</v>
      </c>
      <c r="F164" s="7" t="s">
        <v>11</v>
      </c>
      <c r="G164" s="26">
        <v>0</v>
      </c>
      <c r="H164" s="8" t="s">
        <v>12</v>
      </c>
    </row>
    <row r="165" spans="1:8" ht="18.75" customHeight="1" x14ac:dyDescent="0.3">
      <c r="A165" s="12">
        <v>1</v>
      </c>
      <c r="B165" s="6">
        <v>45900</v>
      </c>
      <c r="C165" s="7" t="s">
        <v>19</v>
      </c>
      <c r="D165" s="8" t="s">
        <v>26</v>
      </c>
      <c r="E165" s="7" t="s">
        <v>27</v>
      </c>
      <c r="F165" s="7" t="s">
        <v>11</v>
      </c>
      <c r="G165" s="26">
        <v>97.22</v>
      </c>
      <c r="H165" s="8" t="s">
        <v>12</v>
      </c>
    </row>
    <row r="166" spans="1:8" ht="18.75" customHeight="1" x14ac:dyDescent="0.3">
      <c r="A166" s="5">
        <v>1</v>
      </c>
      <c r="B166" s="6">
        <v>45900</v>
      </c>
      <c r="C166" s="7" t="s">
        <v>19</v>
      </c>
      <c r="D166" s="8" t="s">
        <v>28</v>
      </c>
      <c r="E166" s="7" t="s">
        <v>29</v>
      </c>
      <c r="F166" s="7" t="s">
        <v>11</v>
      </c>
      <c r="G166" s="26">
        <v>277</v>
      </c>
      <c r="H166" s="8" t="s">
        <v>12</v>
      </c>
    </row>
    <row r="167" spans="1:8" ht="18.75" customHeight="1" x14ac:dyDescent="0.3">
      <c r="A167" s="5">
        <v>1</v>
      </c>
      <c r="B167" s="6">
        <v>45900</v>
      </c>
      <c r="C167" s="7" t="s">
        <v>19</v>
      </c>
      <c r="D167" s="8" t="s">
        <v>30</v>
      </c>
      <c r="E167" s="7" t="s">
        <v>31</v>
      </c>
      <c r="F167" s="7" t="s">
        <v>11</v>
      </c>
      <c r="G167" s="26">
        <v>20</v>
      </c>
      <c r="H167" s="8" t="s">
        <v>12</v>
      </c>
    </row>
    <row r="168" spans="1:8" ht="18.75" customHeight="1" x14ac:dyDescent="0.3">
      <c r="A168" s="5">
        <v>1</v>
      </c>
      <c r="B168" s="6">
        <v>45900</v>
      </c>
      <c r="C168" s="7" t="s">
        <v>8</v>
      </c>
      <c r="D168" s="8" t="s">
        <v>34</v>
      </c>
      <c r="E168" s="7" t="s">
        <v>10</v>
      </c>
      <c r="F168" s="7" t="s">
        <v>33</v>
      </c>
      <c r="G168" s="25">
        <v>313</v>
      </c>
      <c r="H168" s="8" t="s">
        <v>12</v>
      </c>
    </row>
    <row r="169" spans="1:8" ht="18.75" customHeight="1" x14ac:dyDescent="0.3">
      <c r="A169" s="5">
        <v>1</v>
      </c>
      <c r="B169" s="6">
        <v>45900</v>
      </c>
      <c r="C169" s="7" t="s">
        <v>19</v>
      </c>
      <c r="D169" s="8" t="s">
        <v>35</v>
      </c>
      <c r="E169" s="7" t="s">
        <v>36</v>
      </c>
      <c r="F169" s="7" t="s">
        <v>11</v>
      </c>
      <c r="G169" s="26">
        <v>3.5</v>
      </c>
      <c r="H169" s="8" t="s">
        <v>12</v>
      </c>
    </row>
    <row r="170" spans="1:8" ht="18.75" customHeight="1" x14ac:dyDescent="0.3">
      <c r="A170" s="13">
        <v>1</v>
      </c>
      <c r="B170" s="14">
        <v>45900</v>
      </c>
      <c r="C170" s="15" t="s">
        <v>19</v>
      </c>
      <c r="D170" s="15" t="s">
        <v>37</v>
      </c>
      <c r="E170" s="15" t="s">
        <v>38</v>
      </c>
      <c r="F170" s="15" t="s">
        <v>33</v>
      </c>
      <c r="G170" s="28"/>
      <c r="H170" s="15" t="s">
        <v>12</v>
      </c>
    </row>
    <row r="171" spans="1:8" ht="18.75" customHeight="1" x14ac:dyDescent="0.3">
      <c r="A171" s="5">
        <v>1</v>
      </c>
      <c r="B171" s="6">
        <v>45900</v>
      </c>
      <c r="C171" s="7" t="s">
        <v>19</v>
      </c>
      <c r="D171" s="8" t="s">
        <v>39</v>
      </c>
      <c r="E171" s="7" t="s">
        <v>40</v>
      </c>
      <c r="F171" s="7" t="s">
        <v>11</v>
      </c>
      <c r="G171" s="26">
        <v>94</v>
      </c>
      <c r="H171" s="8" t="s">
        <v>12</v>
      </c>
    </row>
    <row r="172" spans="1:8" ht="18.75" customHeight="1" x14ac:dyDescent="0.3">
      <c r="A172" s="5">
        <v>1</v>
      </c>
      <c r="B172" s="6">
        <v>45900</v>
      </c>
      <c r="C172" s="7" t="s">
        <v>19</v>
      </c>
      <c r="D172" s="8" t="s">
        <v>41</v>
      </c>
      <c r="E172" s="7" t="s">
        <v>42</v>
      </c>
      <c r="F172" s="7" t="s">
        <v>11</v>
      </c>
      <c r="G172" s="26">
        <v>6.9</v>
      </c>
      <c r="H172" s="8" t="s">
        <v>12</v>
      </c>
    </row>
    <row r="173" spans="1:8" ht="18.75" customHeight="1" x14ac:dyDescent="0.3">
      <c r="A173" s="5">
        <v>1</v>
      </c>
      <c r="B173" s="6">
        <v>45900</v>
      </c>
      <c r="C173" s="7" t="s">
        <v>19</v>
      </c>
      <c r="D173" s="8" t="s">
        <v>44</v>
      </c>
      <c r="E173" s="7" t="s">
        <v>45</v>
      </c>
      <c r="F173" s="7" t="s">
        <v>11</v>
      </c>
      <c r="G173" s="26">
        <v>23.61</v>
      </c>
      <c r="H173" s="8" t="s">
        <v>12</v>
      </c>
    </row>
    <row r="174" spans="1:8" ht="18.75" customHeight="1" x14ac:dyDescent="0.3">
      <c r="A174" s="5">
        <v>1</v>
      </c>
      <c r="B174" s="6">
        <v>45900</v>
      </c>
      <c r="C174" s="7" t="s">
        <v>19</v>
      </c>
      <c r="D174" s="8" t="s">
        <v>47</v>
      </c>
      <c r="E174" s="7" t="s">
        <v>48</v>
      </c>
      <c r="F174" s="7" t="s">
        <v>11</v>
      </c>
      <c r="G174" s="26">
        <v>449.19</v>
      </c>
      <c r="H174" s="8" t="s">
        <v>12</v>
      </c>
    </row>
    <row r="175" spans="1:8" ht="18.75" customHeight="1" x14ac:dyDescent="0.3">
      <c r="A175" s="5">
        <v>1</v>
      </c>
      <c r="B175" s="6">
        <v>45930</v>
      </c>
      <c r="C175" s="7" t="s">
        <v>19</v>
      </c>
      <c r="D175" s="8" t="s">
        <v>20</v>
      </c>
      <c r="E175" s="7" t="s">
        <v>21</v>
      </c>
      <c r="F175" s="7" t="s">
        <v>11</v>
      </c>
      <c r="G175" s="25">
        <v>0</v>
      </c>
      <c r="H175" s="8" t="s">
        <v>12</v>
      </c>
    </row>
    <row r="176" spans="1:8" ht="18.75" customHeight="1" x14ac:dyDescent="0.3">
      <c r="A176" s="5">
        <v>1</v>
      </c>
      <c r="B176" s="6">
        <v>45930</v>
      </c>
      <c r="C176" s="7" t="s">
        <v>19</v>
      </c>
      <c r="D176" s="8" t="s">
        <v>22</v>
      </c>
      <c r="E176" s="7" t="s">
        <v>23</v>
      </c>
      <c r="F176" s="7" t="s">
        <v>11</v>
      </c>
      <c r="G176" s="25">
        <v>0</v>
      </c>
      <c r="H176" s="8" t="s">
        <v>12</v>
      </c>
    </row>
    <row r="177" spans="1:8" ht="18.75" customHeight="1" x14ac:dyDescent="0.3">
      <c r="A177" s="5">
        <v>1</v>
      </c>
      <c r="B177" s="6">
        <v>45930</v>
      </c>
      <c r="C177" s="7" t="s">
        <v>19</v>
      </c>
      <c r="D177" s="8" t="s">
        <v>26</v>
      </c>
      <c r="E177" s="7" t="s">
        <v>27</v>
      </c>
      <c r="F177" s="7" t="s">
        <v>11</v>
      </c>
      <c r="G177" s="25">
        <v>0</v>
      </c>
      <c r="H177" s="8" t="s">
        <v>12</v>
      </c>
    </row>
    <row r="178" spans="1:8" ht="18.75" customHeight="1" x14ac:dyDescent="0.3">
      <c r="A178" s="5">
        <v>1</v>
      </c>
      <c r="B178" s="6">
        <v>45930</v>
      </c>
      <c r="C178" s="7" t="s">
        <v>19</v>
      </c>
      <c r="D178" s="8" t="s">
        <v>28</v>
      </c>
      <c r="E178" s="7" t="s">
        <v>29</v>
      </c>
      <c r="F178" s="7" t="s">
        <v>11</v>
      </c>
      <c r="G178" s="25">
        <v>0</v>
      </c>
      <c r="H178" s="8" t="s">
        <v>12</v>
      </c>
    </row>
    <row r="179" spans="1:8" ht="18.75" customHeight="1" x14ac:dyDescent="0.3">
      <c r="A179" s="5">
        <v>1</v>
      </c>
      <c r="B179" s="6">
        <v>45930</v>
      </c>
      <c r="C179" s="7" t="s">
        <v>19</v>
      </c>
      <c r="D179" s="8" t="s">
        <v>30</v>
      </c>
      <c r="E179" s="7" t="s">
        <v>31</v>
      </c>
      <c r="F179" s="7" t="s">
        <v>11</v>
      </c>
      <c r="G179" s="25">
        <v>0</v>
      </c>
      <c r="H179" s="8" t="s">
        <v>12</v>
      </c>
    </row>
    <row r="180" spans="1:8" ht="18.75" customHeight="1" x14ac:dyDescent="0.3">
      <c r="A180" s="5">
        <v>1</v>
      </c>
      <c r="B180" s="6">
        <v>45930</v>
      </c>
      <c r="C180" s="7" t="s">
        <v>19</v>
      </c>
      <c r="D180" s="8" t="s">
        <v>35</v>
      </c>
      <c r="E180" s="7" t="s">
        <v>36</v>
      </c>
      <c r="F180" s="7" t="s">
        <v>11</v>
      </c>
      <c r="G180" s="25">
        <v>0</v>
      </c>
      <c r="H180" s="8" t="s">
        <v>12</v>
      </c>
    </row>
    <row r="181" spans="1:8" ht="18.75" customHeight="1" x14ac:dyDescent="0.3">
      <c r="A181" s="5">
        <v>1</v>
      </c>
      <c r="B181" s="6">
        <v>45930</v>
      </c>
      <c r="C181" s="7" t="s">
        <v>19</v>
      </c>
      <c r="D181" s="8" t="s">
        <v>39</v>
      </c>
      <c r="E181" s="7" t="s">
        <v>40</v>
      </c>
      <c r="F181" s="7" t="s">
        <v>11</v>
      </c>
      <c r="G181" s="25">
        <v>100</v>
      </c>
      <c r="H181" s="8" t="s">
        <v>12</v>
      </c>
    </row>
    <row r="182" spans="1:8" ht="18.75" customHeight="1" x14ac:dyDescent="0.3">
      <c r="A182" s="12">
        <v>1</v>
      </c>
      <c r="B182" s="6">
        <v>45930</v>
      </c>
      <c r="C182" s="7" t="s">
        <v>19</v>
      </c>
      <c r="D182" s="8" t="s">
        <v>44</v>
      </c>
      <c r="E182" s="7" t="s">
        <v>45</v>
      </c>
      <c r="F182" s="7" t="s">
        <v>11</v>
      </c>
      <c r="G182" s="25">
        <v>0</v>
      </c>
      <c r="H182" s="8" t="s">
        <v>12</v>
      </c>
    </row>
    <row r="183" spans="1:8" ht="18.75" customHeight="1" x14ac:dyDescent="0.3">
      <c r="A183" s="12">
        <v>1</v>
      </c>
      <c r="B183" s="6">
        <v>45930</v>
      </c>
      <c r="C183" s="7" t="s">
        <v>19</v>
      </c>
      <c r="D183" s="8" t="s">
        <v>47</v>
      </c>
      <c r="E183" s="7" t="s">
        <v>48</v>
      </c>
      <c r="F183" s="7" t="s">
        <v>11</v>
      </c>
      <c r="G183" s="25">
        <v>0</v>
      </c>
      <c r="H183" s="8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D371-E883-4FD7-B4BE-8C54F9CFB5DD}">
  <dimension ref="A1:P178"/>
  <sheetViews>
    <sheetView workbookViewId="0">
      <selection activeCell="L3" sqref="L3"/>
    </sheetView>
  </sheetViews>
  <sheetFormatPr defaultRowHeight="14.4" x14ac:dyDescent="0.3"/>
  <cols>
    <col min="1" max="3" width="13.21875" style="48" customWidth="1"/>
    <col min="4" max="4" width="17.21875" style="48" customWidth="1"/>
    <col min="5" max="6" width="13.21875" style="48" customWidth="1"/>
    <col min="7" max="7" width="13.21875" style="52" customWidth="1"/>
    <col min="8" max="8" width="13.21875" style="48" customWidth="1"/>
    <col min="9" max="9" width="8.88671875" style="48"/>
    <col min="10" max="10" width="13" style="48" customWidth="1"/>
    <col min="11" max="11" width="14" style="48" bestFit="1" customWidth="1"/>
    <col min="12" max="12" width="10.5546875" style="48" bestFit="1" customWidth="1"/>
    <col min="13" max="13" width="11.88671875" style="48" bestFit="1" customWidth="1"/>
    <col min="14" max="14" width="15.21875" style="48" bestFit="1" customWidth="1"/>
    <col min="15" max="15" width="10.88671875" style="48" bestFit="1" customWidth="1"/>
    <col min="16" max="16" width="7.6640625" style="48" bestFit="1" customWidth="1"/>
    <col min="17" max="17" width="10.5546875" style="48" bestFit="1" customWidth="1"/>
    <col min="18" max="18" width="8.88671875" style="48"/>
    <col min="19" max="19" width="10.5546875" style="48" bestFit="1" customWidth="1"/>
    <col min="20" max="16384" width="8.88671875" style="48"/>
  </cols>
  <sheetData>
    <row r="1" spans="1:13" ht="15" customHeight="1" x14ac:dyDescent="0.3">
      <c r="A1" s="44" t="s">
        <v>0</v>
      </c>
      <c r="B1" s="45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7" t="s">
        <v>6</v>
      </c>
      <c r="H1" s="46" t="s">
        <v>7</v>
      </c>
    </row>
    <row r="2" spans="1:13" ht="15" customHeight="1" x14ac:dyDescent="0.3">
      <c r="A2" s="34">
        <v>1</v>
      </c>
      <c r="B2" s="35">
        <v>45900</v>
      </c>
      <c r="C2" s="31" t="s">
        <v>56</v>
      </c>
      <c r="D2" s="31" t="s">
        <v>56</v>
      </c>
      <c r="E2" s="31" t="s">
        <v>52</v>
      </c>
      <c r="F2" s="31" t="s">
        <v>11</v>
      </c>
      <c r="G2" s="30">
        <v>1000</v>
      </c>
      <c r="H2" s="33" t="s">
        <v>53</v>
      </c>
      <c r="J2" s="48" t="s">
        <v>73</v>
      </c>
      <c r="K2" s="52">
        <f>SUMIF(F2:F186,"Income",G2:G186)</f>
        <v>104772.43000000001</v>
      </c>
    </row>
    <row r="3" spans="1:13" ht="15" customHeight="1" x14ac:dyDescent="0.3">
      <c r="A3" s="34">
        <v>1</v>
      </c>
      <c r="B3" s="50">
        <v>45882</v>
      </c>
      <c r="C3" s="31" t="s">
        <v>50</v>
      </c>
      <c r="D3" s="31" t="s">
        <v>60</v>
      </c>
      <c r="E3" s="31" t="s">
        <v>40</v>
      </c>
      <c r="F3" s="31" t="s">
        <v>33</v>
      </c>
      <c r="G3" s="52">
        <v>4000</v>
      </c>
      <c r="H3" s="33" t="s">
        <v>53</v>
      </c>
      <c r="J3" s="48" t="s">
        <v>74</v>
      </c>
      <c r="K3" s="52">
        <f>SUMIF(F2:F186,"Expense",G2:G186)</f>
        <v>104050.40999999996</v>
      </c>
      <c r="M3" s="51"/>
    </row>
    <row r="4" spans="1:13" ht="15" customHeight="1" x14ac:dyDescent="0.3">
      <c r="A4" s="34">
        <v>1</v>
      </c>
      <c r="B4" s="35">
        <v>45875</v>
      </c>
      <c r="C4" s="31" t="s">
        <v>50</v>
      </c>
      <c r="D4" s="31" t="s">
        <v>51</v>
      </c>
      <c r="E4" s="31" t="s">
        <v>52</v>
      </c>
      <c r="F4" s="31" t="s">
        <v>11</v>
      </c>
      <c r="G4" s="30">
        <v>1000</v>
      </c>
      <c r="H4" s="33" t="s">
        <v>53</v>
      </c>
      <c r="J4" s="48" t="s">
        <v>75</v>
      </c>
      <c r="K4" s="52">
        <f>K2-K3</f>
        <v>722.02000000004773</v>
      </c>
    </row>
    <row r="5" spans="1:13" ht="15" customHeight="1" x14ac:dyDescent="0.3">
      <c r="A5" s="34">
        <v>1</v>
      </c>
      <c r="B5" s="35">
        <v>45873</v>
      </c>
      <c r="C5" s="31" t="s">
        <v>50</v>
      </c>
      <c r="D5" s="31" t="s">
        <v>51</v>
      </c>
      <c r="E5" s="31" t="s">
        <v>52</v>
      </c>
      <c r="F5" s="31" t="s">
        <v>11</v>
      </c>
      <c r="G5" s="30">
        <v>1400</v>
      </c>
      <c r="H5" s="33" t="s">
        <v>53</v>
      </c>
      <c r="K5" s="52"/>
    </row>
    <row r="6" spans="1:13" ht="15" customHeight="1" x14ac:dyDescent="0.3">
      <c r="A6" s="34">
        <v>1</v>
      </c>
      <c r="B6" s="50">
        <v>45869</v>
      </c>
      <c r="C6" s="31" t="s">
        <v>50</v>
      </c>
      <c r="D6" s="31" t="s">
        <v>69</v>
      </c>
      <c r="E6" s="31" t="s">
        <v>40</v>
      </c>
      <c r="F6" s="31" t="s">
        <v>11</v>
      </c>
      <c r="G6" s="52">
        <v>3771.9</v>
      </c>
      <c r="H6" s="33" t="s">
        <v>53</v>
      </c>
      <c r="K6" s="52"/>
    </row>
    <row r="7" spans="1:13" ht="15" customHeight="1" x14ac:dyDescent="0.3">
      <c r="A7" s="34">
        <v>1</v>
      </c>
      <c r="B7" s="50">
        <v>45869</v>
      </c>
      <c r="C7" s="31" t="s">
        <v>50</v>
      </c>
      <c r="D7" s="31" t="s">
        <v>60</v>
      </c>
      <c r="E7" s="31" t="s">
        <v>40</v>
      </c>
      <c r="F7" s="31" t="s">
        <v>33</v>
      </c>
      <c r="G7" s="30">
        <v>6500</v>
      </c>
      <c r="H7" s="33" t="s">
        <v>53</v>
      </c>
      <c r="J7" s="48" t="s">
        <v>70</v>
      </c>
      <c r="K7" s="52">
        <f>SUMIFS(G2:G186, F2:F186, "Expense", E2:E186, E168)</f>
        <v>83365.909999999974</v>
      </c>
    </row>
    <row r="8" spans="1:13" ht="15" customHeight="1" x14ac:dyDescent="0.3">
      <c r="A8" s="34">
        <v>1</v>
      </c>
      <c r="B8" s="35">
        <v>45869</v>
      </c>
      <c r="C8" s="31" t="s">
        <v>56</v>
      </c>
      <c r="D8" s="31" t="s">
        <v>56</v>
      </c>
      <c r="E8" s="31" t="s">
        <v>52</v>
      </c>
      <c r="F8" s="31" t="s">
        <v>11</v>
      </c>
      <c r="G8" s="30">
        <v>998.93</v>
      </c>
      <c r="H8" s="33" t="s">
        <v>53</v>
      </c>
      <c r="J8" s="48" t="s">
        <v>71</v>
      </c>
      <c r="K8" s="52">
        <f>SUMIFS(G2:G188, F2:F188, "Income", E2:E188, "Investments",D2:D188,"NuInvest Retirada")</f>
        <v>665.12</v>
      </c>
      <c r="M8" s="52"/>
    </row>
    <row r="9" spans="1:13" ht="15" customHeight="1" x14ac:dyDescent="0.3">
      <c r="A9" s="34">
        <v>1</v>
      </c>
      <c r="B9" s="35">
        <v>45858</v>
      </c>
      <c r="C9" s="31" t="s">
        <v>50</v>
      </c>
      <c r="D9" s="31" t="s">
        <v>51</v>
      </c>
      <c r="E9" s="31" t="s">
        <v>52</v>
      </c>
      <c r="F9" s="31" t="s">
        <v>11</v>
      </c>
      <c r="G9" s="30">
        <v>1750.86</v>
      </c>
      <c r="H9" s="33" t="s">
        <v>53</v>
      </c>
      <c r="J9" s="48" t="s">
        <v>72</v>
      </c>
      <c r="K9" s="52">
        <f>K7-K8</f>
        <v>82700.789999999979</v>
      </c>
    </row>
    <row r="10" spans="1:13" ht="15" customHeight="1" x14ac:dyDescent="0.3">
      <c r="A10" s="34">
        <v>1</v>
      </c>
      <c r="B10" s="35">
        <v>45852</v>
      </c>
      <c r="C10" s="31" t="s">
        <v>57</v>
      </c>
      <c r="D10" s="31" t="s">
        <v>57</v>
      </c>
      <c r="E10" s="31" t="s">
        <v>52</v>
      </c>
      <c r="F10" s="31" t="s">
        <v>11</v>
      </c>
      <c r="G10" s="30">
        <v>1000</v>
      </c>
      <c r="H10" s="33" t="s">
        <v>53</v>
      </c>
    </row>
    <row r="11" spans="1:13" ht="15" customHeight="1" x14ac:dyDescent="0.3">
      <c r="A11" s="34">
        <v>1</v>
      </c>
      <c r="B11" s="50">
        <v>45838</v>
      </c>
      <c r="C11" s="31" t="s">
        <v>50</v>
      </c>
      <c r="D11" s="31" t="s">
        <v>60</v>
      </c>
      <c r="E11" s="31" t="s">
        <v>40</v>
      </c>
      <c r="F11" s="31" t="s">
        <v>33</v>
      </c>
      <c r="G11" s="30">
        <v>6952.22</v>
      </c>
      <c r="H11" s="33" t="s">
        <v>53</v>
      </c>
    </row>
    <row r="12" spans="1:13" ht="15" customHeight="1" x14ac:dyDescent="0.3">
      <c r="A12" s="34">
        <v>1</v>
      </c>
      <c r="B12" s="35">
        <v>45838</v>
      </c>
      <c r="C12" s="31" t="s">
        <v>50</v>
      </c>
      <c r="D12" s="31" t="s">
        <v>51</v>
      </c>
      <c r="E12" s="31" t="s">
        <v>52</v>
      </c>
      <c r="F12" s="31" t="s">
        <v>11</v>
      </c>
      <c r="G12" s="30">
        <v>1500</v>
      </c>
      <c r="H12" s="33" t="s">
        <v>53</v>
      </c>
    </row>
    <row r="13" spans="1:13" ht="15" customHeight="1" x14ac:dyDescent="0.3">
      <c r="A13" s="34">
        <v>1</v>
      </c>
      <c r="B13" s="35">
        <v>45838</v>
      </c>
      <c r="C13" s="31" t="s">
        <v>50</v>
      </c>
      <c r="D13" s="31" t="s">
        <v>54</v>
      </c>
      <c r="E13" s="31" t="s">
        <v>52</v>
      </c>
      <c r="F13" s="31" t="s">
        <v>11</v>
      </c>
      <c r="G13" s="30">
        <v>500</v>
      </c>
      <c r="H13" s="33" t="s">
        <v>53</v>
      </c>
    </row>
    <row r="14" spans="1:13" ht="15" customHeight="1" x14ac:dyDescent="0.3">
      <c r="A14" s="34">
        <v>1</v>
      </c>
      <c r="B14" s="35">
        <v>45838</v>
      </c>
      <c r="C14" s="31" t="s">
        <v>56</v>
      </c>
      <c r="D14" s="31" t="s">
        <v>56</v>
      </c>
      <c r="E14" s="31" t="s">
        <v>52</v>
      </c>
      <c r="F14" s="31" t="s">
        <v>11</v>
      </c>
      <c r="G14" s="30">
        <v>3300</v>
      </c>
      <c r="H14" s="33" t="s">
        <v>53</v>
      </c>
      <c r="K14" s="51">
        <f>G5+G4+G2</f>
        <v>3400</v>
      </c>
    </row>
    <row r="15" spans="1:13" ht="15" customHeight="1" x14ac:dyDescent="0.3">
      <c r="A15" s="34">
        <v>1</v>
      </c>
      <c r="B15" s="35">
        <v>45830</v>
      </c>
      <c r="C15" s="31" t="s">
        <v>50</v>
      </c>
      <c r="D15" s="31" t="s">
        <v>55</v>
      </c>
      <c r="E15" s="31" t="s">
        <v>52</v>
      </c>
      <c r="F15" s="31" t="s">
        <v>11</v>
      </c>
      <c r="G15" s="30">
        <v>1000</v>
      </c>
      <c r="H15" s="33" t="s">
        <v>53</v>
      </c>
      <c r="K15" s="51">
        <f>K14*2</f>
        <v>6800</v>
      </c>
    </row>
    <row r="16" spans="1:13" ht="15" customHeight="1" x14ac:dyDescent="0.3">
      <c r="A16" s="34">
        <v>1</v>
      </c>
      <c r="B16" s="35">
        <v>45821</v>
      </c>
      <c r="C16" s="31" t="s">
        <v>50</v>
      </c>
      <c r="D16" s="31" t="s">
        <v>51</v>
      </c>
      <c r="E16" s="31" t="s">
        <v>52</v>
      </c>
      <c r="F16" s="31" t="s">
        <v>11</v>
      </c>
      <c r="G16" s="30">
        <v>800</v>
      </c>
      <c r="H16" s="33" t="s">
        <v>53</v>
      </c>
      <c r="K16" s="51"/>
    </row>
    <row r="17" spans="1:10" ht="15" customHeight="1" x14ac:dyDescent="0.3">
      <c r="A17" s="34">
        <v>1</v>
      </c>
      <c r="B17" s="35">
        <v>45810</v>
      </c>
      <c r="C17" s="31" t="s">
        <v>50</v>
      </c>
      <c r="D17" s="31" t="s">
        <v>51</v>
      </c>
      <c r="E17" s="31" t="s">
        <v>52</v>
      </c>
      <c r="F17" s="31" t="s">
        <v>11</v>
      </c>
      <c r="G17" s="30">
        <v>2000</v>
      </c>
      <c r="H17" s="33" t="s">
        <v>53</v>
      </c>
    </row>
    <row r="18" spans="1:10" ht="15" customHeight="1" x14ac:dyDescent="0.3">
      <c r="A18" s="34">
        <v>1</v>
      </c>
      <c r="B18" s="50">
        <v>45808</v>
      </c>
      <c r="C18" s="31" t="s">
        <v>50</v>
      </c>
      <c r="D18" s="31" t="s">
        <v>60</v>
      </c>
      <c r="E18" s="31" t="s">
        <v>40</v>
      </c>
      <c r="F18" s="31" t="s">
        <v>33</v>
      </c>
      <c r="G18" s="30">
        <v>6456.3</v>
      </c>
      <c r="H18" s="33" t="s">
        <v>53</v>
      </c>
    </row>
    <row r="19" spans="1:10" ht="15" customHeight="1" x14ac:dyDescent="0.3">
      <c r="A19" s="34">
        <v>1</v>
      </c>
      <c r="B19" s="35">
        <v>45808</v>
      </c>
      <c r="C19" s="31" t="s">
        <v>56</v>
      </c>
      <c r="D19" s="31" t="s">
        <v>56</v>
      </c>
      <c r="E19" s="31" t="s">
        <v>52</v>
      </c>
      <c r="F19" s="31" t="s">
        <v>11</v>
      </c>
      <c r="G19" s="30">
        <v>1200</v>
      </c>
      <c r="H19" s="33" t="s">
        <v>53</v>
      </c>
    </row>
    <row r="20" spans="1:10" ht="15" customHeight="1" x14ac:dyDescent="0.3">
      <c r="A20" s="34">
        <v>1</v>
      </c>
      <c r="B20" s="35">
        <v>45803</v>
      </c>
      <c r="C20" s="31" t="s">
        <v>50</v>
      </c>
      <c r="D20" s="31" t="s">
        <v>51</v>
      </c>
      <c r="E20" s="31" t="s">
        <v>52</v>
      </c>
      <c r="F20" s="31" t="s">
        <v>11</v>
      </c>
      <c r="G20" s="30">
        <v>1290</v>
      </c>
      <c r="H20" s="33" t="s">
        <v>53</v>
      </c>
    </row>
    <row r="21" spans="1:10" ht="15" customHeight="1" x14ac:dyDescent="0.3">
      <c r="A21" s="34">
        <v>1</v>
      </c>
      <c r="B21" s="35">
        <v>45791</v>
      </c>
      <c r="C21" s="31" t="s">
        <v>50</v>
      </c>
      <c r="D21" s="31" t="s">
        <v>51</v>
      </c>
      <c r="E21" s="31" t="s">
        <v>52</v>
      </c>
      <c r="F21" s="31" t="s">
        <v>11</v>
      </c>
      <c r="G21" s="30">
        <v>210</v>
      </c>
      <c r="H21" s="33" t="s">
        <v>53</v>
      </c>
    </row>
    <row r="22" spans="1:10" ht="15" customHeight="1" x14ac:dyDescent="0.3">
      <c r="A22" s="34">
        <v>1</v>
      </c>
      <c r="B22" s="35">
        <v>45784</v>
      </c>
      <c r="C22" s="31" t="s">
        <v>50</v>
      </c>
      <c r="D22" s="31" t="s">
        <v>51</v>
      </c>
      <c r="E22" s="31" t="s">
        <v>52</v>
      </c>
      <c r="F22" s="31" t="s">
        <v>11</v>
      </c>
      <c r="G22" s="30">
        <v>1400</v>
      </c>
      <c r="H22" s="33" t="s">
        <v>53</v>
      </c>
    </row>
    <row r="23" spans="1:10" ht="15" customHeight="1" x14ac:dyDescent="0.3">
      <c r="A23" s="34">
        <v>1</v>
      </c>
      <c r="B23" s="35">
        <v>45784</v>
      </c>
      <c r="C23" s="31" t="s">
        <v>50</v>
      </c>
      <c r="D23" s="31" t="s">
        <v>54</v>
      </c>
      <c r="E23" s="31" t="s">
        <v>52</v>
      </c>
      <c r="F23" s="31" t="s">
        <v>11</v>
      </c>
      <c r="G23" s="30">
        <v>600</v>
      </c>
      <c r="H23" s="33" t="s">
        <v>53</v>
      </c>
    </row>
    <row r="24" spans="1:10" ht="15" customHeight="1" x14ac:dyDescent="0.3">
      <c r="A24" s="34">
        <v>1</v>
      </c>
      <c r="B24" s="50">
        <v>45777</v>
      </c>
      <c r="C24" s="31" t="s">
        <v>50</v>
      </c>
      <c r="D24" s="31" t="s">
        <v>64</v>
      </c>
      <c r="E24" s="31" t="s">
        <v>38</v>
      </c>
      <c r="F24" s="31" t="s">
        <v>33</v>
      </c>
      <c r="G24" s="52">
        <v>1980</v>
      </c>
      <c r="H24" s="33" t="s">
        <v>53</v>
      </c>
    </row>
    <row r="25" spans="1:10" ht="15" customHeight="1" x14ac:dyDescent="0.3">
      <c r="A25" s="34">
        <v>1</v>
      </c>
      <c r="B25" s="50">
        <v>45777</v>
      </c>
      <c r="C25" s="31" t="s">
        <v>50</v>
      </c>
      <c r="D25" s="31" t="s">
        <v>60</v>
      </c>
      <c r="E25" s="31" t="s">
        <v>40</v>
      </c>
      <c r="F25" s="31" t="s">
        <v>33</v>
      </c>
      <c r="G25" s="30">
        <f>5322+1700</f>
        <v>7022</v>
      </c>
      <c r="H25" s="33" t="s">
        <v>53</v>
      </c>
    </row>
    <row r="26" spans="1:10" ht="15" customHeight="1" x14ac:dyDescent="0.3">
      <c r="A26" s="34">
        <v>1</v>
      </c>
      <c r="B26" s="35">
        <v>45777</v>
      </c>
      <c r="C26" s="31" t="s">
        <v>50</v>
      </c>
      <c r="D26" s="31" t="s">
        <v>51</v>
      </c>
      <c r="E26" s="31" t="s">
        <v>52</v>
      </c>
      <c r="F26" s="31" t="s">
        <v>11</v>
      </c>
      <c r="G26" s="41">
        <v>4200</v>
      </c>
      <c r="H26" s="33" t="s">
        <v>53</v>
      </c>
    </row>
    <row r="27" spans="1:10" ht="15" customHeight="1" x14ac:dyDescent="0.3">
      <c r="A27" s="34">
        <v>1</v>
      </c>
      <c r="B27" s="35">
        <v>45777</v>
      </c>
      <c r="C27" s="31" t="s">
        <v>50</v>
      </c>
      <c r="D27" s="31" t="s">
        <v>54</v>
      </c>
      <c r="E27" s="31" t="s">
        <v>52</v>
      </c>
      <c r="F27" s="31" t="s">
        <v>11</v>
      </c>
      <c r="G27" s="30">
        <v>1150</v>
      </c>
      <c r="H27" s="33" t="s">
        <v>53</v>
      </c>
    </row>
    <row r="28" spans="1:10" ht="15" customHeight="1" x14ac:dyDescent="0.3">
      <c r="A28" s="34">
        <v>1</v>
      </c>
      <c r="B28" s="35">
        <v>45777</v>
      </c>
      <c r="C28" s="31" t="s">
        <v>56</v>
      </c>
      <c r="D28" s="31" t="s">
        <v>56</v>
      </c>
      <c r="E28" s="31" t="s">
        <v>52</v>
      </c>
      <c r="F28" s="31" t="s">
        <v>11</v>
      </c>
      <c r="G28" s="30">
        <v>2500</v>
      </c>
      <c r="H28" s="33" t="s">
        <v>53</v>
      </c>
    </row>
    <row r="29" spans="1:10" ht="15" customHeight="1" x14ac:dyDescent="0.3">
      <c r="A29" s="34">
        <v>1</v>
      </c>
      <c r="B29" s="35">
        <v>45776</v>
      </c>
      <c r="C29" s="31" t="s">
        <v>57</v>
      </c>
      <c r="D29" s="31" t="s">
        <v>57</v>
      </c>
      <c r="E29" s="31" t="s">
        <v>52</v>
      </c>
      <c r="F29" s="31" t="s">
        <v>11</v>
      </c>
      <c r="G29" s="30">
        <v>300</v>
      </c>
      <c r="H29" s="33" t="s">
        <v>53</v>
      </c>
    </row>
    <row r="30" spans="1:10" ht="15" customHeight="1" x14ac:dyDescent="0.3">
      <c r="A30" s="34">
        <v>1</v>
      </c>
      <c r="B30" s="35">
        <v>45776</v>
      </c>
      <c r="C30" s="31" t="s">
        <v>57</v>
      </c>
      <c r="D30" s="31" t="s">
        <v>57</v>
      </c>
      <c r="E30" s="31" t="s">
        <v>52</v>
      </c>
      <c r="F30" s="31" t="s">
        <v>11</v>
      </c>
      <c r="G30" s="30">
        <v>300</v>
      </c>
      <c r="H30" s="33" t="s">
        <v>53</v>
      </c>
    </row>
    <row r="31" spans="1:10" ht="15" customHeight="1" x14ac:dyDescent="0.3">
      <c r="A31" s="34">
        <v>1</v>
      </c>
      <c r="B31" s="35">
        <v>45763</v>
      </c>
      <c r="C31" s="31" t="s">
        <v>57</v>
      </c>
      <c r="D31" s="31" t="s">
        <v>57</v>
      </c>
      <c r="E31" s="31" t="s">
        <v>52</v>
      </c>
      <c r="F31" s="31" t="s">
        <v>11</v>
      </c>
      <c r="G31" s="30">
        <v>750</v>
      </c>
      <c r="H31" s="33" t="s">
        <v>53</v>
      </c>
      <c r="J31" s="49"/>
    </row>
    <row r="32" spans="1:10" ht="15" customHeight="1" x14ac:dyDescent="0.3">
      <c r="A32" s="34">
        <v>1</v>
      </c>
      <c r="B32" s="35">
        <v>45751</v>
      </c>
      <c r="C32" s="31" t="s">
        <v>57</v>
      </c>
      <c r="D32" s="31" t="s">
        <v>57</v>
      </c>
      <c r="E32" s="31" t="s">
        <v>52</v>
      </c>
      <c r="F32" s="31" t="s">
        <v>11</v>
      </c>
      <c r="G32" s="30">
        <v>500</v>
      </c>
      <c r="H32" s="33" t="s">
        <v>53</v>
      </c>
    </row>
    <row r="33" spans="1:11" ht="15" customHeight="1" x14ac:dyDescent="0.3">
      <c r="A33" s="34">
        <v>1</v>
      </c>
      <c r="B33" s="50">
        <v>45747</v>
      </c>
      <c r="C33" s="31" t="s">
        <v>50</v>
      </c>
      <c r="D33" s="31" t="s">
        <v>60</v>
      </c>
      <c r="E33" s="31" t="s">
        <v>40</v>
      </c>
      <c r="F33" s="31" t="s">
        <v>33</v>
      </c>
      <c r="G33" s="30">
        <f>5422.3+(4741.6-4241.6)</f>
        <v>5922.3</v>
      </c>
      <c r="H33" s="33" t="s">
        <v>53</v>
      </c>
      <c r="K33" s="51"/>
    </row>
    <row r="34" spans="1:11" ht="15" customHeight="1" x14ac:dyDescent="0.3">
      <c r="A34" s="34">
        <v>1</v>
      </c>
      <c r="B34" s="35">
        <v>45747</v>
      </c>
      <c r="C34" s="31" t="s">
        <v>57</v>
      </c>
      <c r="D34" s="31" t="s">
        <v>57</v>
      </c>
      <c r="E34" s="31" t="s">
        <v>52</v>
      </c>
      <c r="F34" s="31" t="s">
        <v>11</v>
      </c>
      <c r="G34" s="30">
        <v>500</v>
      </c>
      <c r="H34" s="33" t="s">
        <v>53</v>
      </c>
    </row>
    <row r="35" spans="1:11" ht="15" customHeight="1" x14ac:dyDescent="0.3">
      <c r="A35" s="34">
        <v>1</v>
      </c>
      <c r="B35" s="35">
        <v>45747</v>
      </c>
      <c r="C35" s="31" t="s">
        <v>50</v>
      </c>
      <c r="D35" s="31" t="s">
        <v>51</v>
      </c>
      <c r="E35" s="31" t="s">
        <v>52</v>
      </c>
      <c r="F35" s="31" t="s">
        <v>11</v>
      </c>
      <c r="G35" s="41">
        <v>2625</v>
      </c>
      <c r="H35" s="33" t="s">
        <v>53</v>
      </c>
    </row>
    <row r="36" spans="1:11" ht="15" customHeight="1" x14ac:dyDescent="0.3">
      <c r="A36" s="34">
        <v>1</v>
      </c>
      <c r="B36" s="35">
        <v>45747</v>
      </c>
      <c r="C36" s="31" t="s">
        <v>50</v>
      </c>
      <c r="D36" s="31" t="s">
        <v>54</v>
      </c>
      <c r="E36" s="31" t="s">
        <v>52</v>
      </c>
      <c r="F36" s="31" t="s">
        <v>11</v>
      </c>
      <c r="G36" s="30">
        <v>625</v>
      </c>
      <c r="H36" s="33" t="s">
        <v>53</v>
      </c>
    </row>
    <row r="37" spans="1:11" ht="15" customHeight="1" x14ac:dyDescent="0.3">
      <c r="A37" s="34">
        <v>1</v>
      </c>
      <c r="B37" s="35">
        <v>45747</v>
      </c>
      <c r="C37" s="31" t="s">
        <v>56</v>
      </c>
      <c r="D37" s="31" t="s">
        <v>56</v>
      </c>
      <c r="E37" s="31" t="s">
        <v>52</v>
      </c>
      <c r="F37" s="31" t="s">
        <v>11</v>
      </c>
      <c r="G37" s="30">
        <v>991.6</v>
      </c>
      <c r="H37" s="33" t="s">
        <v>53</v>
      </c>
    </row>
    <row r="38" spans="1:11" ht="15" customHeight="1" x14ac:dyDescent="0.3">
      <c r="A38" s="34">
        <v>1</v>
      </c>
      <c r="B38" s="50">
        <v>45716</v>
      </c>
      <c r="C38" s="31" t="s">
        <v>50</v>
      </c>
      <c r="D38" s="31" t="s">
        <v>64</v>
      </c>
      <c r="E38" s="31" t="s">
        <v>38</v>
      </c>
      <c r="F38" s="31" t="s">
        <v>33</v>
      </c>
      <c r="G38" s="52">
        <v>1200</v>
      </c>
      <c r="H38" s="33" t="s">
        <v>53</v>
      </c>
    </row>
    <row r="39" spans="1:11" ht="15" customHeight="1" x14ac:dyDescent="0.3">
      <c r="A39" s="34">
        <v>1</v>
      </c>
      <c r="B39" s="50">
        <v>45716</v>
      </c>
      <c r="C39" s="31" t="s">
        <v>50</v>
      </c>
      <c r="D39" s="31" t="s">
        <v>60</v>
      </c>
      <c r="E39" s="31" t="s">
        <v>40</v>
      </c>
      <c r="F39" s="31" t="s">
        <v>33</v>
      </c>
      <c r="G39" s="30">
        <v>3200</v>
      </c>
      <c r="H39" s="33" t="s">
        <v>53</v>
      </c>
    </row>
    <row r="40" spans="1:11" ht="15" customHeight="1" x14ac:dyDescent="0.3">
      <c r="A40" s="34">
        <v>1</v>
      </c>
      <c r="B40" s="35">
        <v>45716</v>
      </c>
      <c r="C40" s="31" t="s">
        <v>50</v>
      </c>
      <c r="D40" s="31" t="s">
        <v>51</v>
      </c>
      <c r="E40" s="31" t="s">
        <v>52</v>
      </c>
      <c r="F40" s="31" t="s">
        <v>11</v>
      </c>
      <c r="G40" s="41">
        <v>1950</v>
      </c>
      <c r="H40" s="33" t="s">
        <v>53</v>
      </c>
    </row>
    <row r="41" spans="1:11" ht="15" customHeight="1" x14ac:dyDescent="0.3">
      <c r="A41" s="34">
        <v>1</v>
      </c>
      <c r="B41" s="35">
        <v>45716</v>
      </c>
      <c r="C41" s="31" t="s">
        <v>56</v>
      </c>
      <c r="D41" s="31" t="s">
        <v>56</v>
      </c>
      <c r="E41" s="31" t="s">
        <v>52</v>
      </c>
      <c r="F41" s="31" t="s">
        <v>11</v>
      </c>
      <c r="G41" s="30">
        <v>1200</v>
      </c>
      <c r="H41" s="33" t="s">
        <v>53</v>
      </c>
    </row>
    <row r="42" spans="1:11" ht="15" customHeight="1" x14ac:dyDescent="0.3">
      <c r="A42" s="34">
        <v>1</v>
      </c>
      <c r="B42" s="50">
        <v>45688</v>
      </c>
      <c r="C42" s="31" t="s">
        <v>50</v>
      </c>
      <c r="D42" s="31" t="s">
        <v>64</v>
      </c>
      <c r="E42" s="31" t="s">
        <v>38</v>
      </c>
      <c r="F42" s="31" t="s">
        <v>33</v>
      </c>
      <c r="G42" s="52">
        <v>1200</v>
      </c>
      <c r="H42" s="33" t="s">
        <v>53</v>
      </c>
    </row>
    <row r="43" spans="1:11" ht="15" customHeight="1" x14ac:dyDescent="0.3">
      <c r="A43" s="34">
        <v>1</v>
      </c>
      <c r="B43" s="50">
        <v>45688</v>
      </c>
      <c r="C43" s="31" t="s">
        <v>50</v>
      </c>
      <c r="D43" s="31" t="s">
        <v>60</v>
      </c>
      <c r="E43" s="31" t="s">
        <v>40</v>
      </c>
      <c r="F43" s="31" t="s">
        <v>33</v>
      </c>
      <c r="G43" s="30">
        <v>3897.39</v>
      </c>
      <c r="H43" s="33" t="s">
        <v>53</v>
      </c>
    </row>
    <row r="44" spans="1:11" ht="15" customHeight="1" x14ac:dyDescent="0.3">
      <c r="A44" s="34">
        <v>1</v>
      </c>
      <c r="B44" s="35">
        <v>45688</v>
      </c>
      <c r="C44" s="31" t="s">
        <v>50</v>
      </c>
      <c r="D44" s="31" t="s">
        <v>51</v>
      </c>
      <c r="E44" s="31" t="s">
        <v>52</v>
      </c>
      <c r="F44" s="31" t="s">
        <v>11</v>
      </c>
      <c r="G44" s="41">
        <v>1500</v>
      </c>
      <c r="H44" s="33" t="s">
        <v>53</v>
      </c>
    </row>
    <row r="45" spans="1:11" ht="15" customHeight="1" x14ac:dyDescent="0.3">
      <c r="A45" s="34">
        <v>1</v>
      </c>
      <c r="B45" s="35">
        <v>45688</v>
      </c>
      <c r="C45" s="31" t="s">
        <v>50</v>
      </c>
      <c r="D45" s="31" t="s">
        <v>54</v>
      </c>
      <c r="E45" s="31" t="s">
        <v>52</v>
      </c>
      <c r="F45" s="31" t="s">
        <v>11</v>
      </c>
      <c r="G45" s="30">
        <v>1000</v>
      </c>
      <c r="H45" s="33" t="s">
        <v>53</v>
      </c>
    </row>
    <row r="46" spans="1:11" ht="15" customHeight="1" x14ac:dyDescent="0.3">
      <c r="A46" s="34">
        <v>1</v>
      </c>
      <c r="B46" s="35">
        <v>45688</v>
      </c>
      <c r="C46" s="31" t="s">
        <v>56</v>
      </c>
      <c r="D46" s="31" t="s">
        <v>56</v>
      </c>
      <c r="E46" s="31" t="s">
        <v>52</v>
      </c>
      <c r="F46" s="31" t="s">
        <v>11</v>
      </c>
      <c r="G46" s="30">
        <v>3129.77</v>
      </c>
      <c r="H46" s="33" t="s">
        <v>53</v>
      </c>
    </row>
    <row r="47" spans="1:11" ht="15" customHeight="1" x14ac:dyDescent="0.3">
      <c r="A47" s="34">
        <v>1</v>
      </c>
      <c r="B47" s="35">
        <v>45678</v>
      </c>
      <c r="C47" s="31" t="s">
        <v>50</v>
      </c>
      <c r="D47" s="31" t="s">
        <v>54</v>
      </c>
      <c r="E47" s="31" t="s">
        <v>52</v>
      </c>
      <c r="F47" s="31" t="s">
        <v>11</v>
      </c>
      <c r="G47" s="30">
        <v>800</v>
      </c>
      <c r="H47" s="33" t="s">
        <v>53</v>
      </c>
    </row>
    <row r="48" spans="1:11" ht="15" customHeight="1" x14ac:dyDescent="0.3">
      <c r="A48" s="34">
        <v>1</v>
      </c>
      <c r="B48" s="35">
        <v>45657</v>
      </c>
      <c r="C48" s="31" t="s">
        <v>50</v>
      </c>
      <c r="D48" s="31" t="s">
        <v>64</v>
      </c>
      <c r="E48" s="31" t="s">
        <v>38</v>
      </c>
      <c r="F48" s="31" t="s">
        <v>33</v>
      </c>
      <c r="G48" s="52">
        <v>1200</v>
      </c>
      <c r="H48" s="33" t="s">
        <v>53</v>
      </c>
    </row>
    <row r="49" spans="1:8" ht="15" customHeight="1" x14ac:dyDescent="0.3">
      <c r="A49" s="34">
        <v>1</v>
      </c>
      <c r="B49" s="35">
        <v>45657</v>
      </c>
      <c r="C49" s="31" t="s">
        <v>50</v>
      </c>
      <c r="D49" s="31" t="s">
        <v>60</v>
      </c>
      <c r="E49" s="31" t="s">
        <v>40</v>
      </c>
      <c r="F49" s="31" t="s">
        <v>33</v>
      </c>
      <c r="G49" s="52">
        <v>5110.7</v>
      </c>
      <c r="H49" s="33" t="s">
        <v>53</v>
      </c>
    </row>
    <row r="50" spans="1:8" ht="15" customHeight="1" x14ac:dyDescent="0.3">
      <c r="A50" s="34">
        <v>1</v>
      </c>
      <c r="B50" s="35">
        <v>45657</v>
      </c>
      <c r="C50" s="31" t="s">
        <v>50</v>
      </c>
      <c r="D50" s="31" t="s">
        <v>51</v>
      </c>
      <c r="E50" s="31" t="s">
        <v>52</v>
      </c>
      <c r="F50" s="31" t="s">
        <v>11</v>
      </c>
      <c r="G50" s="41">
        <v>626.57000000000005</v>
      </c>
      <c r="H50" s="33" t="s">
        <v>53</v>
      </c>
    </row>
    <row r="51" spans="1:8" ht="15" customHeight="1" x14ac:dyDescent="0.3">
      <c r="A51" s="34">
        <v>1</v>
      </c>
      <c r="B51" s="35">
        <v>45657</v>
      </c>
      <c r="C51" s="31" t="s">
        <v>50</v>
      </c>
      <c r="D51" s="31" t="s">
        <v>54</v>
      </c>
      <c r="E51" s="31" t="s">
        <v>52</v>
      </c>
      <c r="F51" s="31" t="s">
        <v>11</v>
      </c>
      <c r="G51" s="30">
        <v>1075</v>
      </c>
      <c r="H51" s="33" t="s">
        <v>53</v>
      </c>
    </row>
    <row r="52" spans="1:8" ht="15" customHeight="1" x14ac:dyDescent="0.3">
      <c r="A52" s="34">
        <v>1</v>
      </c>
      <c r="B52" s="35">
        <v>45657</v>
      </c>
      <c r="C52" s="31" t="s">
        <v>56</v>
      </c>
      <c r="D52" s="31" t="s">
        <v>56</v>
      </c>
      <c r="E52" s="31" t="s">
        <v>52</v>
      </c>
      <c r="F52" s="31" t="s">
        <v>11</v>
      </c>
      <c r="G52" s="30">
        <v>1500</v>
      </c>
      <c r="H52" s="33" t="s">
        <v>53</v>
      </c>
    </row>
    <row r="53" spans="1:8" ht="15" customHeight="1" x14ac:dyDescent="0.3">
      <c r="A53" s="34">
        <v>1</v>
      </c>
      <c r="B53" s="35">
        <v>45647</v>
      </c>
      <c r="C53" s="31" t="s">
        <v>57</v>
      </c>
      <c r="D53" s="31" t="s">
        <v>57</v>
      </c>
      <c r="E53" s="31" t="s">
        <v>52</v>
      </c>
      <c r="F53" s="31" t="s">
        <v>11</v>
      </c>
      <c r="G53" s="30">
        <v>2000</v>
      </c>
      <c r="H53" s="33" t="s">
        <v>53</v>
      </c>
    </row>
    <row r="54" spans="1:8" ht="15" customHeight="1" x14ac:dyDescent="0.3">
      <c r="A54" s="34">
        <v>1</v>
      </c>
      <c r="B54" s="35">
        <v>45626</v>
      </c>
      <c r="C54" s="31" t="s">
        <v>50</v>
      </c>
      <c r="D54" s="31" t="s">
        <v>64</v>
      </c>
      <c r="E54" s="31" t="s">
        <v>38</v>
      </c>
      <c r="F54" s="31" t="s">
        <v>33</v>
      </c>
      <c r="G54" s="52">
        <v>1200</v>
      </c>
      <c r="H54" s="33" t="s">
        <v>53</v>
      </c>
    </row>
    <row r="55" spans="1:8" ht="15" customHeight="1" x14ac:dyDescent="0.3">
      <c r="A55" s="34">
        <v>1</v>
      </c>
      <c r="B55" s="35">
        <v>45626</v>
      </c>
      <c r="C55" s="31" t="s">
        <v>50</v>
      </c>
      <c r="D55" s="31" t="s">
        <v>60</v>
      </c>
      <c r="E55" s="31" t="s">
        <v>40</v>
      </c>
      <c r="F55" s="31" t="s">
        <v>33</v>
      </c>
      <c r="G55" s="30">
        <v>2817.28</v>
      </c>
      <c r="H55" s="33" t="s">
        <v>53</v>
      </c>
    </row>
    <row r="56" spans="1:8" ht="15" customHeight="1" x14ac:dyDescent="0.3">
      <c r="A56" s="34">
        <v>1</v>
      </c>
      <c r="B56" s="35">
        <v>45626</v>
      </c>
      <c r="C56" s="31" t="s">
        <v>50</v>
      </c>
      <c r="D56" s="31" t="s">
        <v>51</v>
      </c>
      <c r="E56" s="31" t="s">
        <v>52</v>
      </c>
      <c r="F56" s="31" t="s">
        <v>11</v>
      </c>
      <c r="G56" s="41">
        <v>1549.84</v>
      </c>
      <c r="H56" s="33" t="s">
        <v>53</v>
      </c>
    </row>
    <row r="57" spans="1:8" ht="15" customHeight="1" x14ac:dyDescent="0.3">
      <c r="A57" s="34">
        <v>1</v>
      </c>
      <c r="B57" s="35">
        <v>45626</v>
      </c>
      <c r="C57" s="31" t="s">
        <v>56</v>
      </c>
      <c r="D57" s="31" t="s">
        <v>56</v>
      </c>
      <c r="E57" s="31" t="s">
        <v>52</v>
      </c>
      <c r="F57" s="31" t="s">
        <v>11</v>
      </c>
      <c r="G57" s="30">
        <v>1178.6300000000001</v>
      </c>
      <c r="H57" s="33" t="s">
        <v>53</v>
      </c>
    </row>
    <row r="58" spans="1:8" ht="15" customHeight="1" x14ac:dyDescent="0.3">
      <c r="A58" s="34">
        <v>1</v>
      </c>
      <c r="B58" s="35">
        <v>45596</v>
      </c>
      <c r="C58" s="31" t="s">
        <v>50</v>
      </c>
      <c r="D58" s="31" t="s">
        <v>64</v>
      </c>
      <c r="E58" s="31" t="s">
        <v>38</v>
      </c>
      <c r="F58" s="31" t="s">
        <v>33</v>
      </c>
      <c r="G58" s="52">
        <v>1200</v>
      </c>
      <c r="H58" s="33" t="s">
        <v>53</v>
      </c>
    </row>
    <row r="59" spans="1:8" ht="15" customHeight="1" x14ac:dyDescent="0.3">
      <c r="A59" s="34">
        <v>1</v>
      </c>
      <c r="B59" s="35">
        <v>45596</v>
      </c>
      <c r="C59" s="31" t="s">
        <v>50</v>
      </c>
      <c r="D59" s="31" t="s">
        <v>60</v>
      </c>
      <c r="E59" s="31" t="s">
        <v>40</v>
      </c>
      <c r="F59" s="31" t="s">
        <v>33</v>
      </c>
      <c r="G59" s="30">
        <v>1078</v>
      </c>
      <c r="H59" s="33" t="s">
        <v>53</v>
      </c>
    </row>
    <row r="60" spans="1:8" ht="15" customHeight="1" x14ac:dyDescent="0.3">
      <c r="A60" s="34">
        <v>1</v>
      </c>
      <c r="B60" s="35">
        <v>45596</v>
      </c>
      <c r="C60" s="31" t="s">
        <v>50</v>
      </c>
      <c r="D60" s="31" t="s">
        <v>51</v>
      </c>
      <c r="E60" s="31" t="s">
        <v>52</v>
      </c>
      <c r="F60" s="31" t="s">
        <v>11</v>
      </c>
      <c r="G60" s="41">
        <v>1800</v>
      </c>
      <c r="H60" s="33" t="s">
        <v>53</v>
      </c>
    </row>
    <row r="61" spans="1:8" ht="15" customHeight="1" x14ac:dyDescent="0.3">
      <c r="A61" s="34">
        <v>1</v>
      </c>
      <c r="B61" s="35">
        <v>45565</v>
      </c>
      <c r="C61" s="31" t="s">
        <v>50</v>
      </c>
      <c r="D61" s="31" t="s">
        <v>64</v>
      </c>
      <c r="E61" s="31" t="s">
        <v>38</v>
      </c>
      <c r="F61" s="31" t="s">
        <v>33</v>
      </c>
      <c r="G61" s="52">
        <v>1200</v>
      </c>
      <c r="H61" s="33" t="s">
        <v>53</v>
      </c>
    </row>
    <row r="62" spans="1:8" ht="15" customHeight="1" x14ac:dyDescent="0.3">
      <c r="A62" s="34">
        <v>1</v>
      </c>
      <c r="B62" s="35">
        <v>45565</v>
      </c>
      <c r="C62" s="31" t="s">
        <v>50</v>
      </c>
      <c r="D62" s="31" t="s">
        <v>51</v>
      </c>
      <c r="E62" s="31" t="s">
        <v>52</v>
      </c>
      <c r="F62" s="31" t="s">
        <v>11</v>
      </c>
      <c r="G62" s="41">
        <v>650</v>
      </c>
      <c r="H62" s="33" t="s">
        <v>53</v>
      </c>
    </row>
    <row r="63" spans="1:8" ht="15" customHeight="1" x14ac:dyDescent="0.3">
      <c r="A63" s="34">
        <v>1</v>
      </c>
      <c r="B63" s="50">
        <v>45535</v>
      </c>
      <c r="C63" s="31" t="s">
        <v>50</v>
      </c>
      <c r="D63" s="31" t="s">
        <v>68</v>
      </c>
      <c r="E63" s="31" t="s">
        <v>40</v>
      </c>
      <c r="F63" s="31" t="s">
        <v>11</v>
      </c>
      <c r="G63" s="52">
        <v>1693.75</v>
      </c>
      <c r="H63" s="33" t="s">
        <v>53</v>
      </c>
    </row>
    <row r="64" spans="1:8" ht="15" customHeight="1" x14ac:dyDescent="0.3">
      <c r="A64" s="34">
        <v>1</v>
      </c>
      <c r="B64" s="50">
        <v>45535</v>
      </c>
      <c r="C64" s="31" t="s">
        <v>50</v>
      </c>
      <c r="D64" s="31" t="s">
        <v>64</v>
      </c>
      <c r="E64" s="31" t="s">
        <v>38</v>
      </c>
      <c r="F64" s="31" t="s">
        <v>33</v>
      </c>
      <c r="G64" s="52">
        <v>1200</v>
      </c>
      <c r="H64" s="33" t="s">
        <v>53</v>
      </c>
    </row>
    <row r="65" spans="1:11" ht="15" customHeight="1" x14ac:dyDescent="0.3">
      <c r="A65" s="34">
        <v>1</v>
      </c>
      <c r="B65" s="50">
        <v>45504</v>
      </c>
      <c r="C65" s="31" t="s">
        <v>50</v>
      </c>
      <c r="D65" s="31" t="s">
        <v>68</v>
      </c>
      <c r="E65" s="31" t="s">
        <v>40</v>
      </c>
      <c r="F65" s="31" t="s">
        <v>11</v>
      </c>
      <c r="G65" s="52">
        <v>2000</v>
      </c>
      <c r="H65" s="33" t="s">
        <v>53</v>
      </c>
      <c r="J65" s="51"/>
    </row>
    <row r="66" spans="1:11" ht="15" customHeight="1" x14ac:dyDescent="0.3">
      <c r="A66" s="34">
        <v>1</v>
      </c>
      <c r="B66" s="50">
        <v>45504</v>
      </c>
      <c r="C66" s="31" t="s">
        <v>50</v>
      </c>
      <c r="D66" s="31" t="s">
        <v>64</v>
      </c>
      <c r="E66" s="31" t="s">
        <v>38</v>
      </c>
      <c r="F66" s="31" t="s">
        <v>33</v>
      </c>
      <c r="G66" s="52">
        <v>1980</v>
      </c>
      <c r="H66" s="33" t="s">
        <v>53</v>
      </c>
    </row>
    <row r="67" spans="1:11" ht="15" customHeight="1" x14ac:dyDescent="0.3">
      <c r="A67" s="34">
        <v>1</v>
      </c>
      <c r="B67" s="35">
        <v>45473</v>
      </c>
      <c r="C67" s="31" t="s">
        <v>50</v>
      </c>
      <c r="D67" s="31" t="s">
        <v>64</v>
      </c>
      <c r="E67" s="31" t="s">
        <v>38</v>
      </c>
      <c r="F67" s="31" t="s">
        <v>33</v>
      </c>
      <c r="G67" s="52">
        <v>1980</v>
      </c>
      <c r="H67" s="33" t="s">
        <v>53</v>
      </c>
      <c r="K67" s="51"/>
    </row>
    <row r="68" spans="1:11" ht="15" customHeight="1" x14ac:dyDescent="0.3">
      <c r="A68" s="34">
        <v>1</v>
      </c>
      <c r="B68" s="35">
        <v>45473</v>
      </c>
      <c r="C68" s="31" t="s">
        <v>50</v>
      </c>
      <c r="D68" s="31" t="s">
        <v>51</v>
      </c>
      <c r="E68" s="31" t="s">
        <v>52</v>
      </c>
      <c r="F68" s="31" t="s">
        <v>11</v>
      </c>
      <c r="G68" s="41">
        <v>1980</v>
      </c>
      <c r="H68" s="33" t="s">
        <v>53</v>
      </c>
    </row>
    <row r="69" spans="1:11" ht="15" customHeight="1" x14ac:dyDescent="0.3">
      <c r="A69" s="34">
        <v>1</v>
      </c>
      <c r="B69" s="50">
        <v>45443</v>
      </c>
      <c r="C69" s="31" t="s">
        <v>50</v>
      </c>
      <c r="D69" s="31" t="s">
        <v>68</v>
      </c>
      <c r="E69" s="31" t="s">
        <v>40</v>
      </c>
      <c r="F69" s="31" t="s">
        <v>11</v>
      </c>
      <c r="G69" s="52">
        <v>1778.81</v>
      </c>
      <c r="H69" s="33" t="s">
        <v>53</v>
      </c>
    </row>
    <row r="70" spans="1:11" ht="15" customHeight="1" x14ac:dyDescent="0.3">
      <c r="A70" s="34">
        <v>1</v>
      </c>
      <c r="B70" s="35">
        <v>45443</v>
      </c>
      <c r="C70" s="31" t="s">
        <v>50</v>
      </c>
      <c r="D70" s="31" t="s">
        <v>64</v>
      </c>
      <c r="E70" s="31" t="s">
        <v>38</v>
      </c>
      <c r="F70" s="31" t="s">
        <v>33</v>
      </c>
      <c r="G70" s="52">
        <v>1980</v>
      </c>
      <c r="H70" s="33" t="s">
        <v>53</v>
      </c>
    </row>
    <row r="71" spans="1:11" ht="15" customHeight="1" x14ac:dyDescent="0.3">
      <c r="A71" s="34">
        <v>1</v>
      </c>
      <c r="B71" s="35">
        <v>45443</v>
      </c>
      <c r="C71" s="31" t="s">
        <v>50</v>
      </c>
      <c r="D71" s="31" t="s">
        <v>51</v>
      </c>
      <c r="E71" s="31" t="s">
        <v>52</v>
      </c>
      <c r="F71" s="31" t="s">
        <v>11</v>
      </c>
      <c r="G71" s="41">
        <v>769.59</v>
      </c>
      <c r="H71" s="33" t="s">
        <v>53</v>
      </c>
    </row>
    <row r="72" spans="1:11" ht="15" customHeight="1" x14ac:dyDescent="0.3">
      <c r="A72" s="34">
        <v>1</v>
      </c>
      <c r="B72" s="35">
        <v>45443</v>
      </c>
      <c r="C72" s="31" t="s">
        <v>56</v>
      </c>
      <c r="D72" s="31" t="s">
        <v>56</v>
      </c>
      <c r="E72" s="31" t="s">
        <v>52</v>
      </c>
      <c r="F72" s="31" t="s">
        <v>11</v>
      </c>
      <c r="G72" s="30">
        <v>1000</v>
      </c>
      <c r="H72" s="33" t="s">
        <v>53</v>
      </c>
    </row>
    <row r="73" spans="1:11" ht="15" customHeight="1" x14ac:dyDescent="0.3">
      <c r="A73" s="34">
        <v>1</v>
      </c>
      <c r="B73" s="35">
        <v>45412</v>
      </c>
      <c r="C73" s="31" t="s">
        <v>50</v>
      </c>
      <c r="D73" s="31" t="s">
        <v>51</v>
      </c>
      <c r="E73" s="31" t="s">
        <v>52</v>
      </c>
      <c r="F73" s="31" t="s">
        <v>11</v>
      </c>
      <c r="G73" s="41">
        <v>1450</v>
      </c>
      <c r="H73" s="33" t="s">
        <v>53</v>
      </c>
    </row>
    <row r="74" spans="1:11" ht="15" customHeight="1" x14ac:dyDescent="0.3">
      <c r="A74" s="34">
        <v>1</v>
      </c>
      <c r="B74" s="50">
        <v>45382</v>
      </c>
      <c r="C74" s="31" t="s">
        <v>50</v>
      </c>
      <c r="D74" s="31" t="s">
        <v>64</v>
      </c>
      <c r="E74" s="31" t="s">
        <v>38</v>
      </c>
      <c r="F74" s="31" t="s">
        <v>33</v>
      </c>
      <c r="G74" s="52">
        <v>1980</v>
      </c>
      <c r="H74" s="33" t="s">
        <v>53</v>
      </c>
    </row>
    <row r="75" spans="1:11" ht="15" customHeight="1" x14ac:dyDescent="0.3">
      <c r="A75" s="34">
        <v>1</v>
      </c>
      <c r="B75" s="35">
        <v>45382</v>
      </c>
      <c r="C75" s="31" t="s">
        <v>50</v>
      </c>
      <c r="D75" s="31" t="s">
        <v>51</v>
      </c>
      <c r="E75" s="31" t="s">
        <v>52</v>
      </c>
      <c r="F75" s="31" t="s">
        <v>11</v>
      </c>
      <c r="G75" s="41">
        <v>1900</v>
      </c>
      <c r="H75" s="33" t="s">
        <v>53</v>
      </c>
    </row>
    <row r="76" spans="1:11" ht="15" customHeight="1" x14ac:dyDescent="0.3">
      <c r="A76" s="34">
        <v>1</v>
      </c>
      <c r="B76" s="50">
        <v>45382</v>
      </c>
      <c r="C76" s="31" t="s">
        <v>50</v>
      </c>
      <c r="D76" s="31" t="s">
        <v>63</v>
      </c>
      <c r="E76" s="31" t="s">
        <v>40</v>
      </c>
      <c r="F76" s="31" t="s">
        <v>11</v>
      </c>
      <c r="G76" s="52">
        <v>962.5</v>
      </c>
      <c r="H76" s="33" t="s">
        <v>53</v>
      </c>
    </row>
    <row r="77" spans="1:11" ht="15" customHeight="1" x14ac:dyDescent="0.3">
      <c r="A77" s="34">
        <v>1</v>
      </c>
      <c r="B77" s="50">
        <v>45350</v>
      </c>
      <c r="C77" s="31" t="s">
        <v>50</v>
      </c>
      <c r="D77" s="31" t="s">
        <v>64</v>
      </c>
      <c r="E77" s="31" t="s">
        <v>38</v>
      </c>
      <c r="F77" s="31" t="s">
        <v>33</v>
      </c>
      <c r="G77" s="52">
        <v>1980</v>
      </c>
      <c r="H77" s="33" t="s">
        <v>53</v>
      </c>
    </row>
    <row r="78" spans="1:11" ht="15" customHeight="1" x14ac:dyDescent="0.3">
      <c r="A78" s="34">
        <v>1</v>
      </c>
      <c r="B78" s="35">
        <v>45350</v>
      </c>
      <c r="C78" s="31" t="s">
        <v>50</v>
      </c>
      <c r="D78" s="31" t="s">
        <v>51</v>
      </c>
      <c r="E78" s="31" t="s">
        <v>52</v>
      </c>
      <c r="F78" s="31" t="s">
        <v>11</v>
      </c>
      <c r="G78" s="41">
        <v>1100</v>
      </c>
      <c r="H78" s="33" t="s">
        <v>53</v>
      </c>
    </row>
    <row r="79" spans="1:11" ht="15" customHeight="1" x14ac:dyDescent="0.3">
      <c r="A79" s="34">
        <v>1</v>
      </c>
      <c r="B79" s="50">
        <v>45350</v>
      </c>
      <c r="C79" s="31" t="s">
        <v>50</v>
      </c>
      <c r="D79" s="31" t="s">
        <v>63</v>
      </c>
      <c r="E79" s="31" t="s">
        <v>40</v>
      </c>
      <c r="F79" s="31" t="s">
        <v>11</v>
      </c>
      <c r="G79" s="52">
        <v>300</v>
      </c>
      <c r="H79" s="33" t="s">
        <v>53</v>
      </c>
    </row>
    <row r="80" spans="1:11" ht="15" customHeight="1" x14ac:dyDescent="0.3">
      <c r="A80" s="34">
        <v>1</v>
      </c>
      <c r="B80" s="50">
        <v>45322</v>
      </c>
      <c r="C80" s="31" t="s">
        <v>50</v>
      </c>
      <c r="D80" s="31" t="s">
        <v>64</v>
      </c>
      <c r="E80" s="31" t="s">
        <v>38</v>
      </c>
      <c r="F80" s="31" t="s">
        <v>33</v>
      </c>
      <c r="G80" s="52">
        <v>1980</v>
      </c>
      <c r="H80" s="33" t="s">
        <v>53</v>
      </c>
    </row>
    <row r="81" spans="1:8" ht="15" customHeight="1" x14ac:dyDescent="0.3">
      <c r="A81" s="34">
        <v>1</v>
      </c>
      <c r="B81" s="35">
        <v>45322</v>
      </c>
      <c r="C81" s="31" t="s">
        <v>50</v>
      </c>
      <c r="D81" s="31" t="s">
        <v>51</v>
      </c>
      <c r="E81" s="31" t="s">
        <v>52</v>
      </c>
      <c r="F81" s="31" t="s">
        <v>11</v>
      </c>
      <c r="G81" s="41">
        <v>2100</v>
      </c>
      <c r="H81" s="33" t="s">
        <v>53</v>
      </c>
    </row>
    <row r="82" spans="1:8" ht="15" customHeight="1" x14ac:dyDescent="0.3">
      <c r="A82" s="34">
        <v>1</v>
      </c>
      <c r="B82" s="50">
        <v>45322</v>
      </c>
      <c r="C82" s="31" t="s">
        <v>50</v>
      </c>
      <c r="D82" s="31" t="s">
        <v>67</v>
      </c>
      <c r="E82" s="31" t="s">
        <v>48</v>
      </c>
      <c r="F82" s="31" t="s">
        <v>11</v>
      </c>
      <c r="G82" s="52">
        <v>679.95</v>
      </c>
      <c r="H82" s="33" t="s">
        <v>53</v>
      </c>
    </row>
    <row r="83" spans="1:8" ht="15" customHeight="1" x14ac:dyDescent="0.3">
      <c r="A83" s="34">
        <v>1</v>
      </c>
      <c r="B83" s="50">
        <v>45291</v>
      </c>
      <c r="C83" s="31" t="s">
        <v>50</v>
      </c>
      <c r="D83" s="31" t="s">
        <v>64</v>
      </c>
      <c r="E83" s="31" t="s">
        <v>38</v>
      </c>
      <c r="F83" s="31" t="s">
        <v>33</v>
      </c>
      <c r="G83" s="52">
        <v>1200</v>
      </c>
      <c r="H83" s="33" t="s">
        <v>53</v>
      </c>
    </row>
    <row r="84" spans="1:8" ht="15" customHeight="1" x14ac:dyDescent="0.3">
      <c r="A84" s="34">
        <v>1</v>
      </c>
      <c r="B84" s="35">
        <v>45291</v>
      </c>
      <c r="C84" s="31" t="s">
        <v>50</v>
      </c>
      <c r="D84" s="31" t="s">
        <v>54</v>
      </c>
      <c r="E84" s="31" t="s">
        <v>52</v>
      </c>
      <c r="F84" s="31" t="s">
        <v>11</v>
      </c>
      <c r="G84" s="30">
        <v>650</v>
      </c>
      <c r="H84" s="33" t="s">
        <v>53</v>
      </c>
    </row>
    <row r="85" spans="1:8" ht="15" customHeight="1" x14ac:dyDescent="0.3">
      <c r="A85" s="34">
        <v>1</v>
      </c>
      <c r="B85" s="35">
        <v>45291</v>
      </c>
      <c r="C85" s="31" t="s">
        <v>50</v>
      </c>
      <c r="D85" s="31" t="s">
        <v>55</v>
      </c>
      <c r="E85" s="31" t="s">
        <v>52</v>
      </c>
      <c r="F85" s="31" t="s">
        <v>11</v>
      </c>
      <c r="G85" s="30">
        <v>2500</v>
      </c>
      <c r="H85" s="33" t="s">
        <v>53</v>
      </c>
    </row>
    <row r="86" spans="1:8" ht="15" customHeight="1" x14ac:dyDescent="0.3">
      <c r="A86" s="34">
        <v>1</v>
      </c>
      <c r="B86" s="50">
        <v>45260</v>
      </c>
      <c r="C86" s="31" t="s">
        <v>50</v>
      </c>
      <c r="D86" s="31" t="s">
        <v>64</v>
      </c>
      <c r="E86" s="31" t="s">
        <v>38</v>
      </c>
      <c r="F86" s="31" t="s">
        <v>33</v>
      </c>
      <c r="G86" s="52">
        <v>1200</v>
      </c>
      <c r="H86" s="33" t="s">
        <v>53</v>
      </c>
    </row>
    <row r="87" spans="1:8" ht="15" customHeight="1" x14ac:dyDescent="0.3">
      <c r="A87" s="34">
        <v>1</v>
      </c>
      <c r="B87" s="35">
        <v>45260</v>
      </c>
      <c r="C87" s="31" t="s">
        <v>50</v>
      </c>
      <c r="D87" s="31" t="s">
        <v>60</v>
      </c>
      <c r="E87" s="31" t="s">
        <v>40</v>
      </c>
      <c r="F87" s="31" t="s">
        <v>33</v>
      </c>
      <c r="G87" s="30">
        <v>250</v>
      </c>
      <c r="H87" s="33" t="s">
        <v>53</v>
      </c>
    </row>
    <row r="88" spans="1:8" ht="15" customHeight="1" x14ac:dyDescent="0.3">
      <c r="A88" s="34">
        <v>1</v>
      </c>
      <c r="B88" s="35">
        <v>45260</v>
      </c>
      <c r="C88" s="31" t="s">
        <v>50</v>
      </c>
      <c r="D88" s="31" t="s">
        <v>51</v>
      </c>
      <c r="E88" s="31" t="s">
        <v>52</v>
      </c>
      <c r="F88" s="31" t="s">
        <v>11</v>
      </c>
      <c r="G88" s="30">
        <v>1500</v>
      </c>
      <c r="H88" s="33" t="s">
        <v>53</v>
      </c>
    </row>
    <row r="89" spans="1:8" ht="15" customHeight="1" x14ac:dyDescent="0.3">
      <c r="A89" s="34">
        <v>1</v>
      </c>
      <c r="B89" s="50">
        <v>45230</v>
      </c>
      <c r="C89" s="31" t="s">
        <v>50</v>
      </c>
      <c r="D89" s="31" t="s">
        <v>64</v>
      </c>
      <c r="E89" s="31" t="s">
        <v>38</v>
      </c>
      <c r="F89" s="31" t="s">
        <v>33</v>
      </c>
      <c r="G89" s="52">
        <v>1200</v>
      </c>
      <c r="H89" s="33" t="s">
        <v>53</v>
      </c>
    </row>
    <row r="90" spans="1:8" ht="15" customHeight="1" x14ac:dyDescent="0.3">
      <c r="A90" s="34">
        <v>1</v>
      </c>
      <c r="B90" s="35">
        <v>45230</v>
      </c>
      <c r="C90" s="31" t="s">
        <v>50</v>
      </c>
      <c r="D90" s="31" t="s">
        <v>60</v>
      </c>
      <c r="E90" s="31" t="s">
        <v>40</v>
      </c>
      <c r="F90" s="31" t="s">
        <v>33</v>
      </c>
      <c r="G90" s="30">
        <v>450</v>
      </c>
      <c r="H90" s="33" t="s">
        <v>53</v>
      </c>
    </row>
    <row r="91" spans="1:8" ht="15" customHeight="1" x14ac:dyDescent="0.3">
      <c r="A91" s="34">
        <v>1</v>
      </c>
      <c r="B91" s="35">
        <v>45230</v>
      </c>
      <c r="C91" s="31" t="s">
        <v>50</v>
      </c>
      <c r="D91" s="31" t="s">
        <v>51</v>
      </c>
      <c r="E91" s="31" t="s">
        <v>52</v>
      </c>
      <c r="F91" s="31" t="s">
        <v>11</v>
      </c>
      <c r="G91" s="30">
        <v>1200</v>
      </c>
      <c r="H91" s="33" t="s">
        <v>53</v>
      </c>
    </row>
    <row r="92" spans="1:8" ht="15" customHeight="1" x14ac:dyDescent="0.3">
      <c r="A92" s="34">
        <v>1</v>
      </c>
      <c r="B92" s="35">
        <v>45201</v>
      </c>
      <c r="C92" s="31" t="s">
        <v>50</v>
      </c>
      <c r="D92" s="31" t="s">
        <v>60</v>
      </c>
      <c r="E92" s="31" t="s">
        <v>40</v>
      </c>
      <c r="F92" s="31" t="s">
        <v>33</v>
      </c>
      <c r="G92" s="30">
        <v>700</v>
      </c>
      <c r="H92" s="33" t="s">
        <v>53</v>
      </c>
    </row>
    <row r="93" spans="1:8" ht="15" customHeight="1" x14ac:dyDescent="0.3">
      <c r="A93" s="34">
        <v>1</v>
      </c>
      <c r="B93" s="35">
        <v>45201</v>
      </c>
      <c r="C93" s="31" t="s">
        <v>50</v>
      </c>
      <c r="D93" s="31" t="s">
        <v>51</v>
      </c>
      <c r="E93" s="31" t="s">
        <v>52</v>
      </c>
      <c r="F93" s="31" t="s">
        <v>11</v>
      </c>
      <c r="G93" s="30">
        <v>700</v>
      </c>
      <c r="H93" s="33" t="s">
        <v>53</v>
      </c>
    </row>
    <row r="94" spans="1:8" ht="15" customHeight="1" x14ac:dyDescent="0.3">
      <c r="A94" s="34">
        <v>1</v>
      </c>
      <c r="B94" s="50">
        <v>45199</v>
      </c>
      <c r="C94" s="31" t="s">
        <v>50</v>
      </c>
      <c r="D94" s="31" t="s">
        <v>64</v>
      </c>
      <c r="E94" s="31" t="s">
        <v>38</v>
      </c>
      <c r="F94" s="31" t="s">
        <v>33</v>
      </c>
      <c r="G94" s="52">
        <v>700</v>
      </c>
      <c r="H94" s="33" t="s">
        <v>53</v>
      </c>
    </row>
    <row r="95" spans="1:8" ht="15" customHeight="1" x14ac:dyDescent="0.3">
      <c r="A95" s="34">
        <v>1</v>
      </c>
      <c r="B95" s="50">
        <v>45199</v>
      </c>
      <c r="C95" s="31" t="s">
        <v>50</v>
      </c>
      <c r="D95" s="31" t="s">
        <v>60</v>
      </c>
      <c r="E95" s="31" t="s">
        <v>40</v>
      </c>
      <c r="F95" s="31" t="s">
        <v>33</v>
      </c>
      <c r="G95" s="30">
        <v>147.12</v>
      </c>
      <c r="H95" s="33" t="s">
        <v>53</v>
      </c>
    </row>
    <row r="96" spans="1:8" ht="15" customHeight="1" x14ac:dyDescent="0.3">
      <c r="A96" s="34">
        <v>1</v>
      </c>
      <c r="B96" s="50">
        <v>45169</v>
      </c>
      <c r="C96" s="31" t="s">
        <v>50</v>
      </c>
      <c r="D96" s="31" t="s">
        <v>64</v>
      </c>
      <c r="E96" s="31" t="s">
        <v>38</v>
      </c>
      <c r="F96" s="31" t="s">
        <v>33</v>
      </c>
      <c r="G96" s="52">
        <v>700</v>
      </c>
      <c r="H96" s="33" t="s">
        <v>53</v>
      </c>
    </row>
    <row r="97" spans="1:16" ht="15" customHeight="1" x14ac:dyDescent="0.3">
      <c r="A97" s="34">
        <v>1</v>
      </c>
      <c r="B97" s="35">
        <v>45169</v>
      </c>
      <c r="C97" s="31" t="s">
        <v>50</v>
      </c>
      <c r="D97" s="31" t="s">
        <v>60</v>
      </c>
      <c r="E97" s="31" t="s">
        <v>40</v>
      </c>
      <c r="F97" s="31" t="s">
        <v>33</v>
      </c>
      <c r="G97" s="30">
        <v>700.06</v>
      </c>
      <c r="H97" s="33" t="s">
        <v>53</v>
      </c>
    </row>
    <row r="98" spans="1:16" ht="15" customHeight="1" x14ac:dyDescent="0.3">
      <c r="A98" s="34">
        <v>1</v>
      </c>
      <c r="B98" s="35">
        <v>45169</v>
      </c>
      <c r="C98" s="31" t="s">
        <v>50</v>
      </c>
      <c r="D98" s="31" t="s">
        <v>51</v>
      </c>
      <c r="E98" s="31" t="s">
        <v>52</v>
      </c>
      <c r="F98" s="31" t="s">
        <v>11</v>
      </c>
      <c r="G98" s="30">
        <v>1500</v>
      </c>
      <c r="H98" s="33" t="s">
        <v>53</v>
      </c>
    </row>
    <row r="99" spans="1:16" ht="15" customHeight="1" x14ac:dyDescent="0.3">
      <c r="A99" s="34">
        <v>1</v>
      </c>
      <c r="B99" s="50">
        <v>45169</v>
      </c>
      <c r="C99" s="31" t="s">
        <v>50</v>
      </c>
      <c r="D99" s="31" t="s">
        <v>63</v>
      </c>
      <c r="E99" s="31" t="s">
        <v>40</v>
      </c>
      <c r="F99" s="31" t="s">
        <v>11</v>
      </c>
      <c r="G99" s="52">
        <v>2956.44</v>
      </c>
      <c r="H99" s="33" t="s">
        <v>53</v>
      </c>
    </row>
    <row r="100" spans="1:16" ht="15" customHeight="1" x14ac:dyDescent="0.3">
      <c r="A100" s="34">
        <v>1</v>
      </c>
      <c r="B100" s="35">
        <v>45147</v>
      </c>
      <c r="C100" s="31" t="s">
        <v>50</v>
      </c>
      <c r="D100" s="31" t="s">
        <v>60</v>
      </c>
      <c r="E100" s="31" t="s">
        <v>40</v>
      </c>
      <c r="F100" s="31" t="s">
        <v>33</v>
      </c>
      <c r="G100" s="30">
        <v>300</v>
      </c>
      <c r="H100" s="33" t="s">
        <v>53</v>
      </c>
    </row>
    <row r="101" spans="1:16" ht="15" customHeight="1" x14ac:dyDescent="0.3">
      <c r="A101" s="34">
        <v>1</v>
      </c>
      <c r="B101" s="35">
        <v>45147</v>
      </c>
      <c r="C101" s="31" t="s">
        <v>50</v>
      </c>
      <c r="D101" s="31" t="s">
        <v>51</v>
      </c>
      <c r="E101" s="31" t="s">
        <v>52</v>
      </c>
      <c r="F101" s="31" t="s">
        <v>11</v>
      </c>
      <c r="G101" s="30">
        <v>300</v>
      </c>
      <c r="H101" s="33" t="s">
        <v>53</v>
      </c>
    </row>
    <row r="102" spans="1:16" ht="15" customHeight="1" x14ac:dyDescent="0.3">
      <c r="A102" s="34">
        <v>1</v>
      </c>
      <c r="B102" s="35">
        <v>45141</v>
      </c>
      <c r="C102" s="31" t="s">
        <v>50</v>
      </c>
      <c r="D102" s="31" t="s">
        <v>60</v>
      </c>
      <c r="E102" s="31" t="s">
        <v>40</v>
      </c>
      <c r="F102" s="31" t="s">
        <v>33</v>
      </c>
      <c r="G102" s="30">
        <v>500</v>
      </c>
      <c r="H102" s="33" t="s">
        <v>53</v>
      </c>
    </row>
    <row r="103" spans="1:16" ht="15" customHeight="1" x14ac:dyDescent="0.3">
      <c r="A103" s="34">
        <v>1</v>
      </c>
      <c r="B103" s="35">
        <v>45141</v>
      </c>
      <c r="C103" s="31" t="s">
        <v>50</v>
      </c>
      <c r="D103" s="31" t="s">
        <v>51</v>
      </c>
      <c r="E103" s="31" t="s">
        <v>52</v>
      </c>
      <c r="F103" s="31" t="s">
        <v>11</v>
      </c>
      <c r="G103" s="30">
        <v>500</v>
      </c>
      <c r="H103" s="33" t="s">
        <v>53</v>
      </c>
    </row>
    <row r="104" spans="1:16" ht="15" customHeight="1" x14ac:dyDescent="0.3">
      <c r="A104" s="34">
        <v>1</v>
      </c>
      <c r="B104" s="50">
        <v>45138</v>
      </c>
      <c r="C104" s="31" t="s">
        <v>50</v>
      </c>
      <c r="D104" s="31" t="s">
        <v>64</v>
      </c>
      <c r="E104" s="31" t="s">
        <v>38</v>
      </c>
      <c r="F104" s="31" t="s">
        <v>33</v>
      </c>
      <c r="G104" s="52">
        <v>700</v>
      </c>
      <c r="H104" s="33" t="s">
        <v>53</v>
      </c>
      <c r="J104" s="34"/>
      <c r="K104" s="35"/>
    </row>
    <row r="105" spans="1:16" ht="15" customHeight="1" x14ac:dyDescent="0.3">
      <c r="A105" s="34">
        <v>1</v>
      </c>
      <c r="B105" s="35">
        <v>45124</v>
      </c>
      <c r="C105" s="31" t="s">
        <v>50</v>
      </c>
      <c r="D105" s="31" t="s">
        <v>60</v>
      </c>
      <c r="E105" s="31" t="s">
        <v>40</v>
      </c>
      <c r="F105" s="31" t="s">
        <v>33</v>
      </c>
      <c r="G105" s="30">
        <v>343.63</v>
      </c>
      <c r="H105" s="33" t="s">
        <v>53</v>
      </c>
      <c r="J105" s="34"/>
      <c r="K105" s="35"/>
    </row>
    <row r="106" spans="1:16" ht="15" customHeight="1" x14ac:dyDescent="0.3">
      <c r="A106" s="34">
        <v>1</v>
      </c>
      <c r="B106" s="35">
        <v>45124</v>
      </c>
      <c r="C106" s="31" t="s">
        <v>50</v>
      </c>
      <c r="D106" s="31" t="s">
        <v>51</v>
      </c>
      <c r="E106" s="31" t="s">
        <v>52</v>
      </c>
      <c r="F106" s="31" t="s">
        <v>11</v>
      </c>
      <c r="G106" s="30">
        <v>500</v>
      </c>
      <c r="H106" s="33" t="s">
        <v>53</v>
      </c>
      <c r="J106" s="34"/>
      <c r="K106" s="35"/>
    </row>
    <row r="107" spans="1:16" ht="15" customHeight="1" x14ac:dyDescent="0.3">
      <c r="A107" s="34">
        <v>1</v>
      </c>
      <c r="B107" s="50">
        <v>45107</v>
      </c>
      <c r="C107" s="31" t="s">
        <v>50</v>
      </c>
      <c r="D107" s="31" t="s">
        <v>64</v>
      </c>
      <c r="E107" s="31" t="s">
        <v>38</v>
      </c>
      <c r="F107" s="31" t="s">
        <v>33</v>
      </c>
      <c r="G107" s="52">
        <v>700</v>
      </c>
      <c r="H107" s="33" t="s">
        <v>53</v>
      </c>
      <c r="J107" s="34"/>
      <c r="K107" s="35"/>
      <c r="L107" s="31"/>
      <c r="M107" s="31"/>
      <c r="N107" s="31"/>
      <c r="O107" s="31"/>
      <c r="P107" s="42"/>
    </row>
    <row r="108" spans="1:16" ht="15" customHeight="1" x14ac:dyDescent="0.3">
      <c r="A108" s="34">
        <v>1</v>
      </c>
      <c r="B108" s="35">
        <v>45090</v>
      </c>
      <c r="C108" s="31" t="s">
        <v>50</v>
      </c>
      <c r="D108" s="31" t="s">
        <v>60</v>
      </c>
      <c r="E108" s="31" t="s">
        <v>40</v>
      </c>
      <c r="F108" s="31" t="s">
        <v>33</v>
      </c>
      <c r="G108" s="30">
        <v>426.33</v>
      </c>
      <c r="H108" s="33" t="s">
        <v>53</v>
      </c>
      <c r="J108" s="34"/>
      <c r="K108" s="35"/>
      <c r="L108" s="31"/>
      <c r="M108" s="31"/>
      <c r="N108" s="31"/>
      <c r="O108" s="31"/>
      <c r="P108" s="42"/>
    </row>
    <row r="109" spans="1:16" ht="15" customHeight="1" x14ac:dyDescent="0.3">
      <c r="A109" s="34">
        <v>1</v>
      </c>
      <c r="B109" s="35">
        <v>45090</v>
      </c>
      <c r="C109" s="31" t="s">
        <v>50</v>
      </c>
      <c r="D109" s="31" t="s">
        <v>51</v>
      </c>
      <c r="E109" s="31" t="s">
        <v>52</v>
      </c>
      <c r="F109" s="31" t="s">
        <v>11</v>
      </c>
      <c r="G109" s="30">
        <v>500</v>
      </c>
      <c r="H109" s="33" t="s">
        <v>53</v>
      </c>
      <c r="J109" s="34"/>
      <c r="K109" s="35"/>
      <c r="L109" s="31"/>
      <c r="M109" s="31"/>
      <c r="N109" s="31"/>
      <c r="O109" s="31"/>
      <c r="P109" s="42"/>
    </row>
    <row r="110" spans="1:16" ht="15" customHeight="1" x14ac:dyDescent="0.3">
      <c r="A110" s="34">
        <v>1</v>
      </c>
      <c r="B110" s="50">
        <v>45077</v>
      </c>
      <c r="C110" s="31" t="s">
        <v>50</v>
      </c>
      <c r="D110" s="31" t="s">
        <v>64</v>
      </c>
      <c r="E110" s="31" t="s">
        <v>38</v>
      </c>
      <c r="F110" s="31" t="s">
        <v>33</v>
      </c>
      <c r="G110" s="52">
        <v>700</v>
      </c>
      <c r="H110" s="33" t="s">
        <v>53</v>
      </c>
      <c r="J110" s="34"/>
      <c r="K110" s="35"/>
      <c r="L110" s="31"/>
      <c r="M110" s="31"/>
      <c r="N110" s="31"/>
      <c r="O110" s="31"/>
      <c r="P110" s="42"/>
    </row>
    <row r="111" spans="1:16" ht="15" customHeight="1" x14ac:dyDescent="0.3">
      <c r="A111" s="34">
        <v>1</v>
      </c>
      <c r="B111" s="50">
        <v>45077</v>
      </c>
      <c r="C111" s="31" t="s">
        <v>50</v>
      </c>
      <c r="D111" s="31" t="s">
        <v>63</v>
      </c>
      <c r="E111" s="31" t="s">
        <v>40</v>
      </c>
      <c r="F111" s="31" t="s">
        <v>11</v>
      </c>
      <c r="G111" s="52">
        <v>980.2</v>
      </c>
      <c r="H111" s="33" t="s">
        <v>53</v>
      </c>
      <c r="J111" s="34"/>
      <c r="K111" s="35"/>
      <c r="L111" s="31"/>
      <c r="M111" s="31"/>
      <c r="N111" s="31"/>
      <c r="O111" s="31"/>
      <c r="P111" s="42"/>
    </row>
    <row r="112" spans="1:16" ht="15" customHeight="1" x14ac:dyDescent="0.3">
      <c r="A112" s="34">
        <v>1</v>
      </c>
      <c r="B112" s="35">
        <v>45068</v>
      </c>
      <c r="C112" s="31" t="s">
        <v>50</v>
      </c>
      <c r="D112" s="31" t="s">
        <v>51</v>
      </c>
      <c r="E112" s="31" t="s">
        <v>52</v>
      </c>
      <c r="F112" s="31" t="s">
        <v>11</v>
      </c>
      <c r="G112" s="30">
        <v>380.28</v>
      </c>
      <c r="H112" s="33" t="s">
        <v>53</v>
      </c>
      <c r="J112" s="34"/>
      <c r="K112" s="35"/>
      <c r="L112" s="31"/>
      <c r="M112" s="31"/>
      <c r="N112" s="31"/>
      <c r="O112" s="31"/>
      <c r="P112" s="43"/>
    </row>
    <row r="113" spans="1:16" ht="15" customHeight="1" x14ac:dyDescent="0.3">
      <c r="A113" s="34">
        <v>1</v>
      </c>
      <c r="B113" s="35">
        <v>45046</v>
      </c>
      <c r="C113" s="31" t="s">
        <v>50</v>
      </c>
      <c r="D113" s="31" t="s">
        <v>64</v>
      </c>
      <c r="E113" s="31" t="s">
        <v>38</v>
      </c>
      <c r="F113" s="31" t="s">
        <v>33</v>
      </c>
      <c r="G113" s="52">
        <v>700</v>
      </c>
      <c r="H113" s="33" t="s">
        <v>53</v>
      </c>
      <c r="J113" s="34"/>
      <c r="K113" s="35"/>
      <c r="L113" s="31"/>
      <c r="M113" s="31"/>
      <c r="N113" s="31"/>
      <c r="O113" s="31"/>
      <c r="P113" s="42"/>
    </row>
    <row r="114" spans="1:16" ht="15" customHeight="1" x14ac:dyDescent="0.3">
      <c r="A114" s="34">
        <v>1</v>
      </c>
      <c r="B114" s="35">
        <v>45046</v>
      </c>
      <c r="C114" s="31" t="s">
        <v>50</v>
      </c>
      <c r="D114" s="31" t="s">
        <v>60</v>
      </c>
      <c r="E114" s="31" t="s">
        <v>40</v>
      </c>
      <c r="F114" s="31" t="s">
        <v>33</v>
      </c>
      <c r="G114" s="30">
        <v>976.77</v>
      </c>
      <c r="H114" s="33" t="s">
        <v>53</v>
      </c>
      <c r="J114" s="34"/>
      <c r="K114" s="35"/>
      <c r="L114" s="31"/>
      <c r="M114" s="31"/>
      <c r="N114" s="31"/>
      <c r="O114" s="31"/>
      <c r="P114" s="42"/>
    </row>
    <row r="115" spans="1:16" ht="15" customHeight="1" x14ac:dyDescent="0.3">
      <c r="A115" s="34">
        <v>1</v>
      </c>
      <c r="B115" s="35">
        <v>45046</v>
      </c>
      <c r="C115" s="31" t="s">
        <v>50</v>
      </c>
      <c r="D115" s="31" t="s">
        <v>51</v>
      </c>
      <c r="E115" s="31" t="s">
        <v>52</v>
      </c>
      <c r="F115" s="31" t="s">
        <v>11</v>
      </c>
      <c r="G115" s="30">
        <v>500</v>
      </c>
      <c r="H115" s="33" t="s">
        <v>53</v>
      </c>
      <c r="J115" s="34"/>
      <c r="K115" s="35"/>
      <c r="L115" s="31"/>
      <c r="M115" s="31"/>
      <c r="N115" s="31"/>
      <c r="O115" s="31"/>
      <c r="P115" s="42"/>
    </row>
    <row r="116" spans="1:16" ht="15" customHeight="1" x14ac:dyDescent="0.3">
      <c r="A116" s="34">
        <v>1</v>
      </c>
      <c r="B116" s="50">
        <v>45016</v>
      </c>
      <c r="C116" s="31" t="s">
        <v>50</v>
      </c>
      <c r="D116" s="31" t="s">
        <v>64</v>
      </c>
      <c r="E116" s="31" t="s">
        <v>38</v>
      </c>
      <c r="F116" s="31" t="s">
        <v>33</v>
      </c>
      <c r="G116" s="30">
        <v>400</v>
      </c>
      <c r="H116" s="33" t="s">
        <v>53</v>
      </c>
      <c r="J116" s="34"/>
      <c r="K116" s="35"/>
      <c r="L116" s="31"/>
      <c r="M116" s="31"/>
      <c r="N116" s="31"/>
      <c r="O116" s="31"/>
      <c r="P116" s="42"/>
    </row>
    <row r="117" spans="1:16" ht="15" customHeight="1" x14ac:dyDescent="0.3">
      <c r="A117" s="34">
        <v>1</v>
      </c>
      <c r="B117" s="50">
        <v>45016</v>
      </c>
      <c r="C117" s="31" t="s">
        <v>50</v>
      </c>
      <c r="D117" s="31" t="s">
        <v>63</v>
      </c>
      <c r="E117" s="31" t="s">
        <v>40</v>
      </c>
      <c r="F117" s="31" t="s">
        <v>11</v>
      </c>
      <c r="G117" s="52">
        <v>2260.42</v>
      </c>
      <c r="H117" s="33" t="s">
        <v>53</v>
      </c>
      <c r="J117" s="34"/>
      <c r="K117" s="35"/>
      <c r="L117" s="31"/>
      <c r="M117" s="31"/>
      <c r="N117" s="31"/>
      <c r="O117" s="31"/>
      <c r="P117" s="43"/>
    </row>
    <row r="118" spans="1:16" ht="15" customHeight="1" x14ac:dyDescent="0.3">
      <c r="A118" s="34">
        <v>1</v>
      </c>
      <c r="B118" s="50">
        <v>44984</v>
      </c>
      <c r="C118" s="31" t="s">
        <v>50</v>
      </c>
      <c r="D118" s="31" t="s">
        <v>64</v>
      </c>
      <c r="E118" s="31" t="s">
        <v>38</v>
      </c>
      <c r="F118" s="31" t="s">
        <v>33</v>
      </c>
      <c r="G118" s="30">
        <v>400</v>
      </c>
      <c r="H118" s="33" t="s">
        <v>53</v>
      </c>
      <c r="J118" s="34"/>
      <c r="K118" s="35"/>
      <c r="L118" s="31"/>
      <c r="M118" s="31"/>
      <c r="N118" s="31"/>
      <c r="O118" s="31"/>
      <c r="P118" s="43"/>
    </row>
    <row r="119" spans="1:16" ht="15" customHeight="1" x14ac:dyDescent="0.3">
      <c r="A119" s="34">
        <v>1</v>
      </c>
      <c r="B119" s="35">
        <v>44984</v>
      </c>
      <c r="C119" s="31" t="s">
        <v>50</v>
      </c>
      <c r="D119" s="31" t="s">
        <v>60</v>
      </c>
      <c r="E119" s="31" t="s">
        <v>40</v>
      </c>
      <c r="F119" s="31" t="s">
        <v>33</v>
      </c>
      <c r="G119" s="30">
        <v>1318.11</v>
      </c>
      <c r="H119" s="33" t="s">
        <v>53</v>
      </c>
      <c r="L119" s="31"/>
      <c r="M119" s="31"/>
      <c r="N119" s="31"/>
      <c r="O119" s="31"/>
      <c r="P119" s="42"/>
    </row>
    <row r="120" spans="1:16" ht="15" customHeight="1" x14ac:dyDescent="0.3">
      <c r="A120" s="34">
        <v>1</v>
      </c>
      <c r="B120" s="35">
        <v>44984</v>
      </c>
      <c r="C120" s="31" t="s">
        <v>50</v>
      </c>
      <c r="D120" s="31" t="s">
        <v>51</v>
      </c>
      <c r="E120" s="31" t="s">
        <v>52</v>
      </c>
      <c r="F120" s="31" t="s">
        <v>11</v>
      </c>
      <c r="G120" s="30">
        <v>1789.51</v>
      </c>
      <c r="H120" s="33" t="s">
        <v>53</v>
      </c>
      <c r="L120" s="31"/>
      <c r="M120" s="31"/>
      <c r="N120" s="31"/>
      <c r="O120" s="31"/>
      <c r="P120" s="43"/>
    </row>
    <row r="121" spans="1:16" ht="15" customHeight="1" x14ac:dyDescent="0.3">
      <c r="A121" s="34">
        <v>1</v>
      </c>
      <c r="B121" s="50">
        <v>44957</v>
      </c>
      <c r="C121" s="31" t="s">
        <v>50</v>
      </c>
      <c r="D121" s="31" t="s">
        <v>64</v>
      </c>
      <c r="E121" s="31" t="s">
        <v>38</v>
      </c>
      <c r="F121" s="31" t="s">
        <v>33</v>
      </c>
      <c r="G121" s="30">
        <v>400</v>
      </c>
      <c r="H121" s="33" t="s">
        <v>53</v>
      </c>
      <c r="L121" s="31"/>
      <c r="M121" s="31"/>
      <c r="N121" s="31"/>
      <c r="O121" s="31"/>
      <c r="P121" s="43"/>
    </row>
    <row r="122" spans="1:16" ht="15" customHeight="1" x14ac:dyDescent="0.3">
      <c r="A122" s="34">
        <v>1</v>
      </c>
      <c r="B122" s="50">
        <v>44957</v>
      </c>
      <c r="C122" s="31" t="s">
        <v>50</v>
      </c>
      <c r="D122" s="32" t="s">
        <v>63</v>
      </c>
      <c r="E122" s="31" t="s">
        <v>40</v>
      </c>
      <c r="F122" s="31" t="s">
        <v>11</v>
      </c>
      <c r="G122" s="52">
        <v>1412.31</v>
      </c>
      <c r="H122" s="48" t="s">
        <v>53</v>
      </c>
    </row>
    <row r="123" spans="1:16" ht="15" customHeight="1" x14ac:dyDescent="0.3">
      <c r="A123" s="34">
        <v>1</v>
      </c>
      <c r="B123" s="35">
        <v>44951</v>
      </c>
      <c r="C123" s="31" t="s">
        <v>50</v>
      </c>
      <c r="D123" s="31" t="s">
        <v>60</v>
      </c>
      <c r="E123" s="31" t="s">
        <v>40</v>
      </c>
      <c r="F123" s="31" t="s">
        <v>33</v>
      </c>
      <c r="G123" s="30">
        <v>748.42</v>
      </c>
      <c r="H123" s="33" t="s">
        <v>53</v>
      </c>
    </row>
    <row r="124" spans="1:16" ht="15" customHeight="1" x14ac:dyDescent="0.3">
      <c r="A124" s="34">
        <v>1</v>
      </c>
      <c r="B124" s="35">
        <v>44951</v>
      </c>
      <c r="C124" s="31" t="s">
        <v>50</v>
      </c>
      <c r="D124" s="31" t="s">
        <v>51</v>
      </c>
      <c r="E124" s="31" t="s">
        <v>52</v>
      </c>
      <c r="F124" s="31" t="s">
        <v>11</v>
      </c>
      <c r="G124" s="30">
        <v>748.42</v>
      </c>
      <c r="H124" s="33" t="s">
        <v>53</v>
      </c>
    </row>
    <row r="125" spans="1:16" ht="15" customHeight="1" x14ac:dyDescent="0.3">
      <c r="A125" s="34">
        <v>1</v>
      </c>
      <c r="B125" s="50">
        <v>44926</v>
      </c>
      <c r="C125" s="31" t="s">
        <v>50</v>
      </c>
      <c r="D125" s="36" t="s">
        <v>76</v>
      </c>
      <c r="E125" s="31" t="s">
        <v>40</v>
      </c>
      <c r="F125" s="31" t="s">
        <v>11</v>
      </c>
      <c r="G125" s="30">
        <v>689.98</v>
      </c>
      <c r="H125" s="32" t="s">
        <v>53</v>
      </c>
    </row>
    <row r="126" spans="1:16" ht="15" customHeight="1" x14ac:dyDescent="0.3">
      <c r="A126" s="34">
        <v>1</v>
      </c>
      <c r="B126" s="50">
        <v>44926</v>
      </c>
      <c r="C126" s="31" t="s">
        <v>50</v>
      </c>
      <c r="D126" s="32" t="s">
        <v>64</v>
      </c>
      <c r="E126" s="31" t="s">
        <v>38</v>
      </c>
      <c r="F126" s="31" t="s">
        <v>33</v>
      </c>
      <c r="G126" s="30">
        <v>301.3</v>
      </c>
      <c r="H126" s="32" t="s">
        <v>53</v>
      </c>
    </row>
    <row r="127" spans="1:16" ht="15" customHeight="1" x14ac:dyDescent="0.3">
      <c r="A127" s="34">
        <v>1</v>
      </c>
      <c r="B127" s="50">
        <v>44926</v>
      </c>
      <c r="C127" s="31" t="s">
        <v>50</v>
      </c>
      <c r="D127" s="32" t="s">
        <v>60</v>
      </c>
      <c r="E127" s="31" t="s">
        <v>40</v>
      </c>
      <c r="F127" s="31" t="s">
        <v>33</v>
      </c>
      <c r="G127" s="30">
        <v>390</v>
      </c>
      <c r="H127" s="32" t="s">
        <v>53</v>
      </c>
    </row>
    <row r="128" spans="1:16" ht="15" customHeight="1" x14ac:dyDescent="0.3">
      <c r="A128" s="34">
        <v>1</v>
      </c>
      <c r="B128" s="50">
        <v>44926</v>
      </c>
      <c r="C128" s="31" t="s">
        <v>50</v>
      </c>
      <c r="D128" s="32" t="s">
        <v>77</v>
      </c>
      <c r="E128" s="31" t="s">
        <v>52</v>
      </c>
      <c r="F128" s="31" t="s">
        <v>33</v>
      </c>
      <c r="G128" s="30">
        <v>9.57</v>
      </c>
      <c r="H128" s="32" t="s">
        <v>53</v>
      </c>
    </row>
    <row r="129" spans="1:14" ht="15" customHeight="1" x14ac:dyDescent="0.3">
      <c r="A129" s="34">
        <v>1</v>
      </c>
      <c r="B129" s="50">
        <v>44895</v>
      </c>
      <c r="C129" s="31" t="s">
        <v>50</v>
      </c>
      <c r="D129" s="32" t="s">
        <v>64</v>
      </c>
      <c r="E129" s="31" t="s">
        <v>38</v>
      </c>
      <c r="F129" s="31" t="s">
        <v>33</v>
      </c>
      <c r="G129" s="30">
        <v>400</v>
      </c>
      <c r="H129" s="32" t="s">
        <v>53</v>
      </c>
    </row>
    <row r="130" spans="1:14" ht="15" customHeight="1" x14ac:dyDescent="0.3">
      <c r="A130" s="34">
        <v>1</v>
      </c>
      <c r="B130" s="50">
        <v>44895</v>
      </c>
      <c r="C130" s="31" t="s">
        <v>50</v>
      </c>
      <c r="D130" s="32" t="s">
        <v>60</v>
      </c>
      <c r="E130" s="31" t="s">
        <v>40</v>
      </c>
      <c r="F130" s="31" t="s">
        <v>33</v>
      </c>
      <c r="G130" s="30">
        <v>310.04000000000002</v>
      </c>
      <c r="H130" s="32" t="s">
        <v>53</v>
      </c>
      <c r="K130" s="49"/>
    </row>
    <row r="131" spans="1:14" ht="15" customHeight="1" x14ac:dyDescent="0.3">
      <c r="A131" s="37">
        <v>1</v>
      </c>
      <c r="B131" s="38">
        <v>44873</v>
      </c>
      <c r="C131" s="39" t="s">
        <v>50</v>
      </c>
      <c r="D131" s="39" t="s">
        <v>60</v>
      </c>
      <c r="E131" s="39" t="s">
        <v>40</v>
      </c>
      <c r="F131" s="39" t="s">
        <v>33</v>
      </c>
      <c r="G131" s="40">
        <v>1000</v>
      </c>
      <c r="H131" s="39" t="s">
        <v>53</v>
      </c>
    </row>
    <row r="132" spans="1:14" ht="15" customHeight="1" x14ac:dyDescent="0.3">
      <c r="A132" s="37">
        <v>1</v>
      </c>
      <c r="B132" s="38">
        <v>44873</v>
      </c>
      <c r="C132" s="39" t="s">
        <v>50</v>
      </c>
      <c r="D132" s="39" t="s">
        <v>51</v>
      </c>
      <c r="E132" s="39" t="s">
        <v>52</v>
      </c>
      <c r="F132" s="39" t="s">
        <v>11</v>
      </c>
      <c r="G132" s="40">
        <v>1000</v>
      </c>
      <c r="H132" s="39" t="s">
        <v>53</v>
      </c>
      <c r="N132" s="49"/>
    </row>
    <row r="133" spans="1:14" ht="15" customHeight="1" x14ac:dyDescent="0.3">
      <c r="A133" s="34">
        <v>1</v>
      </c>
      <c r="B133" s="50">
        <v>44865</v>
      </c>
      <c r="C133" s="31" t="s">
        <v>50</v>
      </c>
      <c r="D133" s="32" t="s">
        <v>64</v>
      </c>
      <c r="E133" s="31" t="s">
        <v>38</v>
      </c>
      <c r="F133" s="31" t="s">
        <v>33</v>
      </c>
      <c r="G133" s="30">
        <v>400</v>
      </c>
      <c r="H133" s="32" t="s">
        <v>53</v>
      </c>
      <c r="N133" s="49"/>
    </row>
    <row r="134" spans="1:14" ht="15" customHeight="1" x14ac:dyDescent="0.3">
      <c r="A134" s="34">
        <v>1</v>
      </c>
      <c r="B134" s="50">
        <v>44865</v>
      </c>
      <c r="C134" s="31" t="s">
        <v>50</v>
      </c>
      <c r="D134" s="32" t="s">
        <v>60</v>
      </c>
      <c r="E134" s="31" t="s">
        <v>40</v>
      </c>
      <c r="F134" s="31" t="s">
        <v>33</v>
      </c>
      <c r="G134" s="30">
        <v>500</v>
      </c>
      <c r="H134" s="32" t="s">
        <v>53</v>
      </c>
      <c r="N134" s="49"/>
    </row>
    <row r="135" spans="1:14" ht="15" customHeight="1" x14ac:dyDescent="0.3">
      <c r="A135" s="34">
        <v>1</v>
      </c>
      <c r="B135" s="50">
        <v>44865</v>
      </c>
      <c r="C135" s="31" t="s">
        <v>50</v>
      </c>
      <c r="D135" s="32" t="s">
        <v>77</v>
      </c>
      <c r="E135" s="31" t="s">
        <v>52</v>
      </c>
      <c r="F135" s="31" t="s">
        <v>33</v>
      </c>
      <c r="G135" s="30">
        <v>77.510000000000005</v>
      </c>
      <c r="H135" s="32" t="s">
        <v>53</v>
      </c>
      <c r="N135" s="49"/>
    </row>
    <row r="136" spans="1:14" ht="15" customHeight="1" x14ac:dyDescent="0.3">
      <c r="A136" s="34">
        <v>1</v>
      </c>
      <c r="B136" s="50">
        <v>44834</v>
      </c>
      <c r="C136" s="31" t="s">
        <v>50</v>
      </c>
      <c r="D136" s="32" t="s">
        <v>63</v>
      </c>
      <c r="E136" s="31" t="s">
        <v>40</v>
      </c>
      <c r="F136" s="31" t="s">
        <v>11</v>
      </c>
      <c r="G136" s="30">
        <v>521.20000000000005</v>
      </c>
      <c r="H136" s="32" t="s">
        <v>53</v>
      </c>
      <c r="N136" s="49"/>
    </row>
    <row r="137" spans="1:14" ht="15" customHeight="1" x14ac:dyDescent="0.3">
      <c r="A137" s="37">
        <v>1</v>
      </c>
      <c r="B137" s="38">
        <v>44825</v>
      </c>
      <c r="C137" s="39" t="s">
        <v>50</v>
      </c>
      <c r="D137" s="39" t="s">
        <v>60</v>
      </c>
      <c r="E137" s="39" t="s">
        <v>40</v>
      </c>
      <c r="F137" s="39" t="s">
        <v>33</v>
      </c>
      <c r="G137" s="40">
        <v>103.99</v>
      </c>
      <c r="H137" s="39" t="s">
        <v>53</v>
      </c>
      <c r="N137" s="49"/>
    </row>
    <row r="138" spans="1:14" ht="15" customHeight="1" x14ac:dyDescent="0.3">
      <c r="A138" s="37">
        <v>1</v>
      </c>
      <c r="B138" s="38">
        <v>44825</v>
      </c>
      <c r="C138" s="39" t="s">
        <v>50</v>
      </c>
      <c r="D138" s="39" t="s">
        <v>51</v>
      </c>
      <c r="E138" s="39" t="s">
        <v>52</v>
      </c>
      <c r="F138" s="39" t="s">
        <v>11</v>
      </c>
      <c r="G138" s="40">
        <v>103.99</v>
      </c>
      <c r="H138" s="39" t="s">
        <v>53</v>
      </c>
      <c r="N138" s="49"/>
    </row>
    <row r="139" spans="1:14" ht="15" customHeight="1" x14ac:dyDescent="0.3">
      <c r="A139" s="34">
        <v>1</v>
      </c>
      <c r="B139" s="35">
        <v>44804</v>
      </c>
      <c r="C139" s="31" t="s">
        <v>50</v>
      </c>
      <c r="D139" s="32" t="s">
        <v>77</v>
      </c>
      <c r="E139" s="31" t="s">
        <v>52</v>
      </c>
      <c r="F139" s="31" t="s">
        <v>33</v>
      </c>
      <c r="G139" s="30">
        <v>295.31</v>
      </c>
      <c r="H139" s="32" t="s">
        <v>53</v>
      </c>
      <c r="N139" s="49"/>
    </row>
    <row r="140" spans="1:14" ht="15" customHeight="1" x14ac:dyDescent="0.3">
      <c r="A140" s="37">
        <v>1</v>
      </c>
      <c r="B140" s="38">
        <v>44796</v>
      </c>
      <c r="C140" s="39" t="s">
        <v>50</v>
      </c>
      <c r="D140" s="39" t="s">
        <v>60</v>
      </c>
      <c r="E140" s="39" t="s">
        <v>40</v>
      </c>
      <c r="F140" s="39" t="s">
        <v>33</v>
      </c>
      <c r="G140" s="40">
        <v>342.92</v>
      </c>
      <c r="H140" s="39" t="s">
        <v>53</v>
      </c>
      <c r="K140" s="51"/>
    </row>
    <row r="141" spans="1:14" ht="15" customHeight="1" x14ac:dyDescent="0.3">
      <c r="A141" s="37">
        <v>1</v>
      </c>
      <c r="B141" s="38">
        <v>44796</v>
      </c>
      <c r="C141" s="39" t="s">
        <v>50</v>
      </c>
      <c r="D141" s="39" t="s">
        <v>51</v>
      </c>
      <c r="E141" s="39" t="s">
        <v>52</v>
      </c>
      <c r="F141" s="39" t="s">
        <v>11</v>
      </c>
      <c r="G141" s="40">
        <v>342.92</v>
      </c>
      <c r="H141" s="39" t="s">
        <v>53</v>
      </c>
    </row>
    <row r="142" spans="1:14" ht="15" customHeight="1" x14ac:dyDescent="0.3">
      <c r="A142" s="34">
        <v>1</v>
      </c>
      <c r="B142" s="35">
        <v>44773</v>
      </c>
      <c r="C142" s="31" t="s">
        <v>50</v>
      </c>
      <c r="D142" s="32" t="s">
        <v>63</v>
      </c>
      <c r="E142" s="31" t="s">
        <v>40</v>
      </c>
      <c r="F142" s="31" t="s">
        <v>11</v>
      </c>
      <c r="G142" s="30">
        <v>49.04</v>
      </c>
      <c r="H142" s="32" t="s">
        <v>53</v>
      </c>
    </row>
    <row r="143" spans="1:14" ht="15" customHeight="1" x14ac:dyDescent="0.3">
      <c r="A143" s="37">
        <v>1</v>
      </c>
      <c r="B143" s="38">
        <v>44770</v>
      </c>
      <c r="C143" s="39" t="s">
        <v>50</v>
      </c>
      <c r="D143" s="39" t="s">
        <v>66</v>
      </c>
      <c r="E143" s="39" t="s">
        <v>52</v>
      </c>
      <c r="F143" s="39" t="s">
        <v>33</v>
      </c>
      <c r="G143" s="40">
        <v>665.12</v>
      </c>
      <c r="H143" s="39" t="s">
        <v>53</v>
      </c>
    </row>
    <row r="144" spans="1:14" ht="15" customHeight="1" x14ac:dyDescent="0.3">
      <c r="A144" s="34">
        <v>1</v>
      </c>
      <c r="B144" s="35">
        <v>44742</v>
      </c>
      <c r="C144" s="31" t="s">
        <v>50</v>
      </c>
      <c r="D144" s="32" t="s">
        <v>60</v>
      </c>
      <c r="E144" s="31" t="s">
        <v>40</v>
      </c>
      <c r="F144" s="31" t="s">
        <v>33</v>
      </c>
      <c r="G144" s="30">
        <v>460.51</v>
      </c>
      <c r="H144" s="32" t="s">
        <v>53</v>
      </c>
    </row>
    <row r="145" spans="1:8" ht="15" customHeight="1" x14ac:dyDescent="0.3">
      <c r="A145" s="34">
        <v>1</v>
      </c>
      <c r="B145" s="35">
        <v>44742</v>
      </c>
      <c r="C145" s="31" t="s">
        <v>50</v>
      </c>
      <c r="D145" s="32" t="s">
        <v>77</v>
      </c>
      <c r="E145" s="31" t="s">
        <v>52</v>
      </c>
      <c r="F145" s="31" t="s">
        <v>33</v>
      </c>
      <c r="G145" s="30">
        <v>26.65</v>
      </c>
      <c r="H145" s="32" t="s">
        <v>53</v>
      </c>
    </row>
    <row r="146" spans="1:8" ht="15" customHeight="1" x14ac:dyDescent="0.3">
      <c r="A146" s="34">
        <v>1</v>
      </c>
      <c r="B146" s="35">
        <v>44712</v>
      </c>
      <c r="C146" s="31" t="s">
        <v>50</v>
      </c>
      <c r="D146" s="32" t="s">
        <v>60</v>
      </c>
      <c r="E146" s="31" t="s">
        <v>40</v>
      </c>
      <c r="F146" s="31" t="s">
        <v>33</v>
      </c>
      <c r="G146" s="30">
        <v>488.74</v>
      </c>
      <c r="H146" s="32" t="s">
        <v>53</v>
      </c>
    </row>
    <row r="147" spans="1:8" ht="15" customHeight="1" x14ac:dyDescent="0.3">
      <c r="A147" s="34">
        <v>1</v>
      </c>
      <c r="B147" s="35">
        <v>44712</v>
      </c>
      <c r="C147" s="31" t="s">
        <v>50</v>
      </c>
      <c r="D147" s="32" t="s">
        <v>77</v>
      </c>
      <c r="E147" s="31" t="s">
        <v>52</v>
      </c>
      <c r="F147" s="31" t="s">
        <v>33</v>
      </c>
      <c r="G147" s="30">
        <v>25.82</v>
      </c>
      <c r="H147" s="32" t="s">
        <v>53</v>
      </c>
    </row>
    <row r="148" spans="1:8" ht="15" customHeight="1" x14ac:dyDescent="0.3">
      <c r="A148" s="34">
        <v>1</v>
      </c>
      <c r="B148" s="35">
        <v>44681</v>
      </c>
      <c r="C148" s="31" t="s">
        <v>50</v>
      </c>
      <c r="D148" s="32" t="s">
        <v>62</v>
      </c>
      <c r="E148" s="31" t="s">
        <v>40</v>
      </c>
      <c r="F148" s="31" t="s">
        <v>33</v>
      </c>
      <c r="G148" s="30">
        <v>200</v>
      </c>
      <c r="H148" s="32" t="s">
        <v>53</v>
      </c>
    </row>
    <row r="149" spans="1:8" ht="15" customHeight="1" x14ac:dyDescent="0.3">
      <c r="A149" s="34">
        <v>1</v>
      </c>
      <c r="B149" s="35">
        <v>44681</v>
      </c>
      <c r="C149" s="31" t="s">
        <v>50</v>
      </c>
      <c r="D149" s="32" t="s">
        <v>60</v>
      </c>
      <c r="E149" s="31" t="s">
        <v>40</v>
      </c>
      <c r="F149" s="31" t="s">
        <v>33</v>
      </c>
      <c r="G149" s="30">
        <v>88.93</v>
      </c>
      <c r="H149" s="32" t="s">
        <v>53</v>
      </c>
    </row>
    <row r="150" spans="1:8" ht="15" customHeight="1" x14ac:dyDescent="0.3">
      <c r="A150" s="34">
        <v>1</v>
      </c>
      <c r="B150" s="35">
        <v>44651</v>
      </c>
      <c r="C150" s="31" t="s">
        <v>50</v>
      </c>
      <c r="D150" s="32" t="s">
        <v>60</v>
      </c>
      <c r="E150" s="31" t="s">
        <v>40</v>
      </c>
      <c r="F150" s="31" t="s">
        <v>33</v>
      </c>
      <c r="G150" s="30">
        <v>157.44999999999999</v>
      </c>
      <c r="H150" s="32" t="s">
        <v>53</v>
      </c>
    </row>
    <row r="151" spans="1:8" ht="15" customHeight="1" x14ac:dyDescent="0.3">
      <c r="A151" s="34">
        <v>1</v>
      </c>
      <c r="B151" s="35">
        <v>44651</v>
      </c>
      <c r="C151" s="31" t="s">
        <v>50</v>
      </c>
      <c r="D151" s="32" t="s">
        <v>77</v>
      </c>
      <c r="E151" s="31" t="s">
        <v>52</v>
      </c>
      <c r="F151" s="31" t="s">
        <v>33</v>
      </c>
      <c r="G151" s="30">
        <v>23.94</v>
      </c>
      <c r="H151" s="32" t="s">
        <v>53</v>
      </c>
    </row>
    <row r="152" spans="1:8" ht="15" customHeight="1" x14ac:dyDescent="0.3">
      <c r="A152" s="34">
        <v>1</v>
      </c>
      <c r="B152" s="35">
        <v>44620</v>
      </c>
      <c r="C152" s="31" t="s">
        <v>50</v>
      </c>
      <c r="D152" s="32" t="s">
        <v>77</v>
      </c>
      <c r="E152" s="31" t="s">
        <v>52</v>
      </c>
      <c r="F152" s="31" t="s">
        <v>33</v>
      </c>
      <c r="G152" s="30">
        <v>59.75</v>
      </c>
      <c r="H152" s="32" t="s">
        <v>53</v>
      </c>
    </row>
    <row r="153" spans="1:8" ht="15" customHeight="1" x14ac:dyDescent="0.3">
      <c r="A153" s="34">
        <v>1</v>
      </c>
      <c r="B153" s="35">
        <v>44592</v>
      </c>
      <c r="C153" s="31" t="s">
        <v>50</v>
      </c>
      <c r="D153" s="32" t="s">
        <v>60</v>
      </c>
      <c r="E153" s="31" t="s">
        <v>40</v>
      </c>
      <c r="F153" s="31" t="s">
        <v>33</v>
      </c>
      <c r="G153" s="30">
        <v>806.1</v>
      </c>
      <c r="H153" s="32" t="s">
        <v>53</v>
      </c>
    </row>
    <row r="154" spans="1:8" ht="15" customHeight="1" x14ac:dyDescent="0.3">
      <c r="A154" s="34">
        <v>1</v>
      </c>
      <c r="B154" s="35">
        <v>44592</v>
      </c>
      <c r="C154" s="31" t="s">
        <v>50</v>
      </c>
      <c r="D154" s="32" t="s">
        <v>77</v>
      </c>
      <c r="E154" s="31" t="s">
        <v>52</v>
      </c>
      <c r="F154" s="31" t="s">
        <v>33</v>
      </c>
      <c r="G154" s="30">
        <v>4.12</v>
      </c>
      <c r="H154" s="32" t="s">
        <v>53</v>
      </c>
    </row>
    <row r="155" spans="1:8" ht="15" customHeight="1" x14ac:dyDescent="0.3">
      <c r="A155" s="34">
        <v>1</v>
      </c>
      <c r="B155" s="35">
        <v>44531</v>
      </c>
      <c r="C155" s="31" t="s">
        <v>50</v>
      </c>
      <c r="D155" s="32" t="s">
        <v>77</v>
      </c>
      <c r="E155" s="31" t="s">
        <v>52</v>
      </c>
      <c r="F155" s="31" t="s">
        <v>33</v>
      </c>
      <c r="G155" s="30">
        <v>32.99</v>
      </c>
      <c r="H155" s="32" t="s">
        <v>53</v>
      </c>
    </row>
    <row r="156" spans="1:8" ht="15" customHeight="1" x14ac:dyDescent="0.3">
      <c r="A156" s="34">
        <v>1</v>
      </c>
      <c r="B156" s="35">
        <v>44501</v>
      </c>
      <c r="C156" s="31" t="s">
        <v>50</v>
      </c>
      <c r="D156" s="32" t="s">
        <v>77</v>
      </c>
      <c r="E156" s="31" t="s">
        <v>52</v>
      </c>
      <c r="F156" s="31" t="s">
        <v>33</v>
      </c>
      <c r="G156" s="30">
        <v>42.22</v>
      </c>
      <c r="H156" s="32" t="s">
        <v>53</v>
      </c>
    </row>
    <row r="157" spans="1:8" ht="15" customHeight="1" x14ac:dyDescent="0.3">
      <c r="A157" s="34">
        <v>1</v>
      </c>
      <c r="B157" s="35">
        <v>44470</v>
      </c>
      <c r="C157" s="31" t="s">
        <v>50</v>
      </c>
      <c r="D157" s="32" t="s">
        <v>60</v>
      </c>
      <c r="E157" s="31" t="s">
        <v>40</v>
      </c>
      <c r="F157" s="31" t="s">
        <v>33</v>
      </c>
      <c r="G157" s="30">
        <v>3482.82</v>
      </c>
      <c r="H157" s="32" t="s">
        <v>53</v>
      </c>
    </row>
    <row r="158" spans="1:8" ht="15" customHeight="1" x14ac:dyDescent="0.3">
      <c r="A158" s="34">
        <v>1</v>
      </c>
      <c r="B158" s="35">
        <v>44470</v>
      </c>
      <c r="C158" s="31" t="s">
        <v>50</v>
      </c>
      <c r="D158" s="32" t="s">
        <v>59</v>
      </c>
      <c r="E158" s="31" t="s">
        <v>40</v>
      </c>
      <c r="F158" s="31" t="s">
        <v>11</v>
      </c>
      <c r="G158" s="30">
        <v>628</v>
      </c>
      <c r="H158" s="32" t="s">
        <v>53</v>
      </c>
    </row>
    <row r="159" spans="1:8" ht="15" customHeight="1" x14ac:dyDescent="0.3">
      <c r="A159" s="34">
        <v>1</v>
      </c>
      <c r="B159" s="35">
        <v>44396</v>
      </c>
      <c r="C159" s="31" t="s">
        <v>50</v>
      </c>
      <c r="D159" s="32" t="s">
        <v>60</v>
      </c>
      <c r="E159" s="31" t="s">
        <v>40</v>
      </c>
      <c r="F159" s="31" t="s">
        <v>33</v>
      </c>
      <c r="G159" s="30">
        <v>1000</v>
      </c>
      <c r="H159" s="32" t="s">
        <v>53</v>
      </c>
    </row>
    <row r="160" spans="1:8" ht="15" customHeight="1" x14ac:dyDescent="0.3">
      <c r="A160" s="34">
        <v>1</v>
      </c>
      <c r="B160" s="35">
        <v>44396</v>
      </c>
      <c r="C160" s="31" t="s">
        <v>50</v>
      </c>
      <c r="D160" s="31" t="s">
        <v>51</v>
      </c>
      <c r="E160" s="31" t="s">
        <v>52</v>
      </c>
      <c r="F160" s="31" t="s">
        <v>11</v>
      </c>
      <c r="G160" s="30">
        <v>1000</v>
      </c>
      <c r="H160" s="32" t="s">
        <v>53</v>
      </c>
    </row>
    <row r="161" spans="1:8" ht="15" customHeight="1" x14ac:dyDescent="0.3">
      <c r="A161" s="34">
        <v>1</v>
      </c>
      <c r="B161" s="35">
        <v>44347</v>
      </c>
      <c r="C161" s="31" t="s">
        <v>50</v>
      </c>
      <c r="D161" s="32" t="s">
        <v>60</v>
      </c>
      <c r="E161" s="31" t="s">
        <v>40</v>
      </c>
      <c r="F161" s="31" t="s">
        <v>33</v>
      </c>
      <c r="G161" s="30">
        <v>600</v>
      </c>
      <c r="H161" s="32" t="s">
        <v>53</v>
      </c>
    </row>
    <row r="162" spans="1:8" ht="15" customHeight="1" x14ac:dyDescent="0.3">
      <c r="A162" s="34">
        <v>1</v>
      </c>
      <c r="B162" s="35">
        <v>44347</v>
      </c>
      <c r="C162" s="31" t="s">
        <v>50</v>
      </c>
      <c r="D162" s="31" t="s">
        <v>51</v>
      </c>
      <c r="E162" s="31" t="s">
        <v>52</v>
      </c>
      <c r="F162" s="31" t="s">
        <v>11</v>
      </c>
      <c r="G162" s="30">
        <v>600</v>
      </c>
      <c r="H162" s="32" t="s">
        <v>53</v>
      </c>
    </row>
    <row r="163" spans="1:8" ht="15" customHeight="1" x14ac:dyDescent="0.3">
      <c r="A163" s="34">
        <v>1</v>
      </c>
      <c r="B163" s="35">
        <v>44305</v>
      </c>
      <c r="C163" s="31" t="s">
        <v>50</v>
      </c>
      <c r="D163" s="32" t="s">
        <v>60</v>
      </c>
      <c r="E163" s="31" t="s">
        <v>40</v>
      </c>
      <c r="F163" s="31" t="s">
        <v>33</v>
      </c>
      <c r="G163" s="30">
        <v>400</v>
      </c>
      <c r="H163" s="32" t="s">
        <v>53</v>
      </c>
    </row>
    <row r="164" spans="1:8" ht="15" customHeight="1" x14ac:dyDescent="0.3">
      <c r="A164" s="34">
        <v>1</v>
      </c>
      <c r="B164" s="35">
        <v>44305</v>
      </c>
      <c r="C164" s="31" t="s">
        <v>50</v>
      </c>
      <c r="D164" s="31" t="s">
        <v>51</v>
      </c>
      <c r="E164" s="31" t="s">
        <v>52</v>
      </c>
      <c r="F164" s="31" t="s">
        <v>11</v>
      </c>
      <c r="G164" s="30">
        <v>400</v>
      </c>
      <c r="H164" s="32" t="s">
        <v>53</v>
      </c>
    </row>
    <row r="165" spans="1:8" ht="15" customHeight="1" x14ac:dyDescent="0.3">
      <c r="A165" s="34">
        <v>1</v>
      </c>
      <c r="B165" s="35">
        <v>44207</v>
      </c>
      <c r="C165" s="31" t="s">
        <v>50</v>
      </c>
      <c r="D165" s="32" t="s">
        <v>60</v>
      </c>
      <c r="E165" s="31" t="s">
        <v>40</v>
      </c>
      <c r="F165" s="31" t="s">
        <v>33</v>
      </c>
      <c r="G165" s="30">
        <v>100</v>
      </c>
      <c r="H165" s="32" t="s">
        <v>53</v>
      </c>
    </row>
    <row r="166" spans="1:8" ht="15" customHeight="1" x14ac:dyDescent="0.3">
      <c r="A166" s="34">
        <v>1</v>
      </c>
      <c r="B166" s="35">
        <v>44207</v>
      </c>
      <c r="C166" s="31" t="s">
        <v>50</v>
      </c>
      <c r="D166" s="31" t="s">
        <v>51</v>
      </c>
      <c r="E166" s="31" t="s">
        <v>52</v>
      </c>
      <c r="F166" s="31" t="s">
        <v>11</v>
      </c>
      <c r="G166" s="30">
        <v>100</v>
      </c>
      <c r="H166" s="32" t="s">
        <v>53</v>
      </c>
    </row>
    <row r="167" spans="1:8" ht="15" customHeight="1" x14ac:dyDescent="0.3">
      <c r="A167" s="34">
        <v>1</v>
      </c>
      <c r="B167" s="35">
        <v>44159</v>
      </c>
      <c r="C167" s="31" t="s">
        <v>50</v>
      </c>
      <c r="D167" s="32" t="s">
        <v>60</v>
      </c>
      <c r="E167" s="31" t="s">
        <v>40</v>
      </c>
      <c r="F167" s="31" t="s">
        <v>33</v>
      </c>
      <c r="G167" s="30">
        <v>100</v>
      </c>
      <c r="H167" s="32" t="s">
        <v>53</v>
      </c>
    </row>
    <row r="168" spans="1:8" ht="15" customHeight="1" x14ac:dyDescent="0.3">
      <c r="A168" s="34">
        <v>1</v>
      </c>
      <c r="B168" s="35">
        <v>44159</v>
      </c>
      <c r="C168" s="31" t="s">
        <v>50</v>
      </c>
      <c r="D168" s="31" t="s">
        <v>51</v>
      </c>
      <c r="E168" s="31" t="s">
        <v>52</v>
      </c>
      <c r="F168" s="31" t="s">
        <v>11</v>
      </c>
      <c r="G168" s="30">
        <v>100</v>
      </c>
      <c r="H168" s="32" t="s">
        <v>53</v>
      </c>
    </row>
    <row r="169" spans="1:8" ht="15" customHeight="1" x14ac:dyDescent="0.3">
      <c r="A169" s="34">
        <v>1</v>
      </c>
      <c r="B169" s="35">
        <v>44144</v>
      </c>
      <c r="C169" s="31" t="s">
        <v>50</v>
      </c>
      <c r="D169" s="32" t="s">
        <v>60</v>
      </c>
      <c r="E169" s="31" t="s">
        <v>40</v>
      </c>
      <c r="F169" s="31" t="s">
        <v>33</v>
      </c>
      <c r="G169" s="30">
        <v>100</v>
      </c>
      <c r="H169" s="32" t="s">
        <v>53</v>
      </c>
    </row>
    <row r="170" spans="1:8" ht="15" customHeight="1" x14ac:dyDescent="0.3">
      <c r="A170" s="34">
        <v>1</v>
      </c>
      <c r="B170" s="35">
        <v>44144</v>
      </c>
      <c r="C170" s="31" t="s">
        <v>50</v>
      </c>
      <c r="D170" s="31" t="s">
        <v>51</v>
      </c>
      <c r="E170" s="31" t="s">
        <v>52</v>
      </c>
      <c r="F170" s="31" t="s">
        <v>11</v>
      </c>
      <c r="G170" s="30">
        <v>100</v>
      </c>
      <c r="H170" s="32" t="s">
        <v>53</v>
      </c>
    </row>
    <row r="171" spans="1:8" ht="15" customHeight="1" x14ac:dyDescent="0.3">
      <c r="A171" s="34">
        <v>1</v>
      </c>
      <c r="B171" s="35">
        <v>44105</v>
      </c>
      <c r="C171" s="31" t="s">
        <v>50</v>
      </c>
      <c r="D171" s="32" t="s">
        <v>60</v>
      </c>
      <c r="E171" s="31" t="s">
        <v>40</v>
      </c>
      <c r="F171" s="31" t="s">
        <v>33</v>
      </c>
      <c r="G171" s="30">
        <v>200</v>
      </c>
      <c r="H171" s="32" t="s">
        <v>53</v>
      </c>
    </row>
    <row r="172" spans="1:8" ht="15" customHeight="1" x14ac:dyDescent="0.3">
      <c r="A172" s="34">
        <v>1</v>
      </c>
      <c r="B172" s="35">
        <v>44105</v>
      </c>
      <c r="C172" s="31" t="s">
        <v>50</v>
      </c>
      <c r="D172" s="31" t="s">
        <v>51</v>
      </c>
      <c r="E172" s="31" t="s">
        <v>52</v>
      </c>
      <c r="F172" s="31" t="s">
        <v>11</v>
      </c>
      <c r="G172" s="30">
        <v>200</v>
      </c>
      <c r="H172" s="32" t="s">
        <v>53</v>
      </c>
    </row>
    <row r="173" spans="1:8" ht="15" customHeight="1" x14ac:dyDescent="0.3">
      <c r="A173" s="34">
        <v>1</v>
      </c>
      <c r="B173" s="35">
        <v>44074</v>
      </c>
      <c r="C173" s="31" t="s">
        <v>50</v>
      </c>
      <c r="D173" s="32" t="s">
        <v>60</v>
      </c>
      <c r="E173" s="31" t="s">
        <v>40</v>
      </c>
      <c r="F173" s="31" t="s">
        <v>33</v>
      </c>
      <c r="G173" s="30">
        <v>100</v>
      </c>
      <c r="H173" s="32" t="s">
        <v>53</v>
      </c>
    </row>
    <row r="174" spans="1:8" ht="15" customHeight="1" x14ac:dyDescent="0.3">
      <c r="A174" s="34">
        <v>1</v>
      </c>
      <c r="B174" s="35">
        <v>44074</v>
      </c>
      <c r="C174" s="31" t="s">
        <v>50</v>
      </c>
      <c r="D174" s="31" t="s">
        <v>51</v>
      </c>
      <c r="E174" s="31" t="s">
        <v>52</v>
      </c>
      <c r="F174" s="31" t="s">
        <v>11</v>
      </c>
      <c r="G174" s="30">
        <v>100</v>
      </c>
      <c r="H174" s="32" t="s">
        <v>53</v>
      </c>
    </row>
    <row r="175" spans="1:8" ht="15" customHeight="1" x14ac:dyDescent="0.3">
      <c r="A175" s="34">
        <v>1</v>
      </c>
      <c r="B175" s="35">
        <v>44047</v>
      </c>
      <c r="C175" s="31" t="s">
        <v>50</v>
      </c>
      <c r="D175" s="32" t="s">
        <v>60</v>
      </c>
      <c r="E175" s="31" t="s">
        <v>40</v>
      </c>
      <c r="F175" s="31" t="s">
        <v>33</v>
      </c>
      <c r="G175" s="30">
        <v>200</v>
      </c>
      <c r="H175" s="32" t="s">
        <v>53</v>
      </c>
    </row>
    <row r="176" spans="1:8" ht="15" customHeight="1" x14ac:dyDescent="0.3">
      <c r="A176" s="34">
        <v>1</v>
      </c>
      <c r="B176" s="35">
        <v>44047</v>
      </c>
      <c r="C176" s="31" t="s">
        <v>50</v>
      </c>
      <c r="D176" s="31" t="s">
        <v>51</v>
      </c>
      <c r="E176" s="31" t="s">
        <v>52</v>
      </c>
      <c r="F176" s="31" t="s">
        <v>11</v>
      </c>
      <c r="G176" s="30">
        <v>200</v>
      </c>
      <c r="H176" s="32" t="s">
        <v>53</v>
      </c>
    </row>
    <row r="177" spans="1:8" ht="15" customHeight="1" x14ac:dyDescent="0.3">
      <c r="A177" s="34">
        <v>1</v>
      </c>
      <c r="B177" s="35">
        <v>43997</v>
      </c>
      <c r="C177" s="31" t="s">
        <v>50</v>
      </c>
      <c r="D177" s="32" t="s">
        <v>60</v>
      </c>
      <c r="E177" s="31" t="s">
        <v>40</v>
      </c>
      <c r="F177" s="31" t="s">
        <v>33</v>
      </c>
      <c r="G177" s="30">
        <v>200</v>
      </c>
      <c r="H177" s="32" t="s">
        <v>53</v>
      </c>
    </row>
    <row r="178" spans="1:8" ht="15" customHeight="1" x14ac:dyDescent="0.3">
      <c r="A178" s="34">
        <v>1</v>
      </c>
      <c r="B178" s="35">
        <v>43997</v>
      </c>
      <c r="C178" s="31" t="s">
        <v>50</v>
      </c>
      <c r="D178" s="31" t="s">
        <v>51</v>
      </c>
      <c r="E178" s="31" t="s">
        <v>52</v>
      </c>
      <c r="F178" s="31" t="s">
        <v>11</v>
      </c>
      <c r="G178" s="30">
        <v>200</v>
      </c>
      <c r="H178" s="32" t="s">
        <v>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8"/>
  <sheetViews>
    <sheetView workbookViewId="0">
      <selection activeCell="F3" sqref="F3"/>
    </sheetView>
  </sheetViews>
  <sheetFormatPr defaultRowHeight="14.4" x14ac:dyDescent="0.3"/>
  <cols>
    <col min="1" max="1" width="11.44140625" style="17" bestFit="1" customWidth="1"/>
    <col min="2" max="2" width="21.109375" style="18" bestFit="1" customWidth="1"/>
    <col min="3" max="3" width="21.109375" style="19" bestFit="1" customWidth="1"/>
    <col min="4" max="6" width="21.33203125" style="19" bestFit="1" customWidth="1"/>
    <col min="7" max="7" width="22.44140625" style="20" bestFit="1" customWidth="1"/>
    <col min="8" max="8" width="12.88671875" bestFit="1" customWidth="1"/>
    <col min="9" max="9" width="13.5546875" bestFit="1" customWidth="1"/>
    <col min="10" max="10" width="11.5546875" style="4" bestFit="1" customWidth="1"/>
  </cols>
  <sheetData>
    <row r="1" spans="1:10" ht="19.5" customHeight="1" x14ac:dyDescent="0.3">
      <c r="A1" s="12" t="s">
        <v>0</v>
      </c>
      <c r="B1" s="2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</row>
    <row r="2" spans="1:10" ht="19.5" customHeight="1" x14ac:dyDescent="0.3">
      <c r="A2" s="12">
        <v>1</v>
      </c>
      <c r="B2" s="21">
        <v>45647</v>
      </c>
      <c r="C2" s="7" t="s">
        <v>57</v>
      </c>
      <c r="D2" s="7" t="s">
        <v>57</v>
      </c>
      <c r="E2" s="7" t="s">
        <v>52</v>
      </c>
      <c r="F2" s="7" t="s">
        <v>11</v>
      </c>
      <c r="G2" s="11">
        <v>2000</v>
      </c>
      <c r="I2" t="s">
        <v>58</v>
      </c>
      <c r="J2" s="9">
        <f>SUM(Tabela1[Amount])</f>
        <v>82700.790000000008</v>
      </c>
    </row>
    <row r="3" spans="1:10" ht="19.5" customHeight="1" x14ac:dyDescent="0.3">
      <c r="A3" s="12">
        <v>1</v>
      </c>
      <c r="B3" s="21">
        <v>45747</v>
      </c>
      <c r="C3" s="7" t="s">
        <v>57</v>
      </c>
      <c r="D3" s="7" t="s">
        <v>57</v>
      </c>
      <c r="E3" s="7" t="s">
        <v>52</v>
      </c>
      <c r="F3" s="7" t="s">
        <v>11</v>
      </c>
      <c r="G3" s="11">
        <v>500</v>
      </c>
    </row>
    <row r="4" spans="1:10" ht="19.5" customHeight="1" x14ac:dyDescent="0.3">
      <c r="A4" s="12">
        <v>1</v>
      </c>
      <c r="B4" s="21">
        <v>45751</v>
      </c>
      <c r="C4" s="7" t="s">
        <v>57</v>
      </c>
      <c r="D4" s="7" t="s">
        <v>57</v>
      </c>
      <c r="E4" s="7" t="s">
        <v>52</v>
      </c>
      <c r="F4" s="7" t="s">
        <v>11</v>
      </c>
      <c r="G4" s="11">
        <v>500</v>
      </c>
      <c r="H4" s="23"/>
    </row>
    <row r="5" spans="1:10" ht="19.5" customHeight="1" x14ac:dyDescent="0.3">
      <c r="A5" s="12">
        <v>1</v>
      </c>
      <c r="B5" s="21">
        <v>45763</v>
      </c>
      <c r="C5" s="7" t="s">
        <v>57</v>
      </c>
      <c r="D5" s="7" t="s">
        <v>57</v>
      </c>
      <c r="E5" s="7" t="s">
        <v>52</v>
      </c>
      <c r="F5" s="7" t="s">
        <v>11</v>
      </c>
      <c r="G5" s="11">
        <v>750</v>
      </c>
    </row>
    <row r="6" spans="1:10" ht="19.5" customHeight="1" x14ac:dyDescent="0.3">
      <c r="A6" s="12">
        <v>1</v>
      </c>
      <c r="B6" s="21">
        <v>45776</v>
      </c>
      <c r="C6" s="7" t="s">
        <v>57</v>
      </c>
      <c r="D6" s="7" t="s">
        <v>57</v>
      </c>
      <c r="E6" s="7" t="s">
        <v>52</v>
      </c>
      <c r="F6" s="7" t="s">
        <v>11</v>
      </c>
      <c r="G6" s="11">
        <v>300</v>
      </c>
    </row>
    <row r="7" spans="1:10" ht="19.5" customHeight="1" x14ac:dyDescent="0.3">
      <c r="A7" s="12">
        <v>1</v>
      </c>
      <c r="B7" s="21">
        <v>45776</v>
      </c>
      <c r="C7" s="7" t="s">
        <v>57</v>
      </c>
      <c r="D7" s="7" t="s">
        <v>57</v>
      </c>
      <c r="E7" s="7" t="s">
        <v>52</v>
      </c>
      <c r="F7" s="7" t="s">
        <v>11</v>
      </c>
      <c r="G7" s="11">
        <v>300</v>
      </c>
    </row>
    <row r="8" spans="1:10" ht="19.5" customHeight="1" x14ac:dyDescent="0.3">
      <c r="A8" s="12">
        <v>1</v>
      </c>
      <c r="B8" s="21">
        <v>45852</v>
      </c>
      <c r="C8" s="7" t="s">
        <v>57</v>
      </c>
      <c r="D8" s="7" t="s">
        <v>57</v>
      </c>
      <c r="E8" s="7" t="s">
        <v>52</v>
      </c>
      <c r="F8" s="7" t="s">
        <v>11</v>
      </c>
      <c r="G8" s="11">
        <v>1000</v>
      </c>
    </row>
    <row r="9" spans="1:10" ht="19.5" customHeight="1" x14ac:dyDescent="0.3">
      <c r="A9" s="12">
        <v>1</v>
      </c>
      <c r="B9" s="21">
        <v>43997</v>
      </c>
      <c r="C9" s="7" t="s">
        <v>50</v>
      </c>
      <c r="D9" s="7" t="s">
        <v>51</v>
      </c>
      <c r="E9" s="7" t="s">
        <v>52</v>
      </c>
      <c r="F9" s="7" t="s">
        <v>11</v>
      </c>
      <c r="G9" s="11">
        <v>200</v>
      </c>
    </row>
    <row r="10" spans="1:10" ht="19.5" customHeight="1" x14ac:dyDescent="0.3">
      <c r="A10" s="12">
        <v>1</v>
      </c>
      <c r="B10" s="21">
        <v>44047</v>
      </c>
      <c r="C10" s="7" t="s">
        <v>50</v>
      </c>
      <c r="D10" s="7" t="s">
        <v>51</v>
      </c>
      <c r="E10" s="7" t="s">
        <v>52</v>
      </c>
      <c r="F10" s="7" t="s">
        <v>11</v>
      </c>
      <c r="G10" s="11">
        <v>200</v>
      </c>
    </row>
    <row r="11" spans="1:10" ht="19.5" customHeight="1" x14ac:dyDescent="0.3">
      <c r="A11" s="12">
        <v>1</v>
      </c>
      <c r="B11" s="21">
        <v>44074</v>
      </c>
      <c r="C11" s="7" t="s">
        <v>50</v>
      </c>
      <c r="D11" s="7" t="s">
        <v>51</v>
      </c>
      <c r="E11" s="7" t="s">
        <v>52</v>
      </c>
      <c r="F11" s="7" t="s">
        <v>11</v>
      </c>
      <c r="G11" s="11">
        <v>100</v>
      </c>
    </row>
    <row r="12" spans="1:10" ht="19.5" customHeight="1" x14ac:dyDescent="0.3">
      <c r="A12" s="12">
        <v>1</v>
      </c>
      <c r="B12" s="21">
        <v>44105</v>
      </c>
      <c r="C12" s="7" t="s">
        <v>50</v>
      </c>
      <c r="D12" s="7" t="s">
        <v>51</v>
      </c>
      <c r="E12" s="7" t="s">
        <v>52</v>
      </c>
      <c r="F12" s="7" t="s">
        <v>11</v>
      </c>
      <c r="G12" s="11">
        <v>200</v>
      </c>
    </row>
    <row r="13" spans="1:10" ht="19.5" customHeight="1" x14ac:dyDescent="0.3">
      <c r="A13" s="12">
        <v>1</v>
      </c>
      <c r="B13" s="21">
        <v>44144</v>
      </c>
      <c r="C13" s="7" t="s">
        <v>50</v>
      </c>
      <c r="D13" s="7" t="s">
        <v>51</v>
      </c>
      <c r="E13" s="7" t="s">
        <v>52</v>
      </c>
      <c r="F13" s="7" t="s">
        <v>11</v>
      </c>
      <c r="G13" s="11">
        <v>100</v>
      </c>
    </row>
    <row r="14" spans="1:10" ht="19.5" customHeight="1" x14ac:dyDescent="0.3">
      <c r="A14" s="12">
        <v>1</v>
      </c>
      <c r="B14" s="21">
        <v>44159</v>
      </c>
      <c r="C14" s="7" t="s">
        <v>50</v>
      </c>
      <c r="D14" s="7" t="s">
        <v>51</v>
      </c>
      <c r="E14" s="7" t="s">
        <v>52</v>
      </c>
      <c r="F14" s="7" t="s">
        <v>11</v>
      </c>
      <c r="G14" s="11">
        <v>100</v>
      </c>
    </row>
    <row r="15" spans="1:10" ht="19.5" customHeight="1" x14ac:dyDescent="0.3">
      <c r="A15" s="12">
        <v>1</v>
      </c>
      <c r="B15" s="21">
        <v>44207</v>
      </c>
      <c r="C15" s="7" t="s">
        <v>50</v>
      </c>
      <c r="D15" s="7" t="s">
        <v>51</v>
      </c>
      <c r="E15" s="7" t="s">
        <v>52</v>
      </c>
      <c r="F15" s="7" t="s">
        <v>11</v>
      </c>
      <c r="G15" s="11">
        <v>100</v>
      </c>
    </row>
    <row r="16" spans="1:10" ht="19.5" customHeight="1" x14ac:dyDescent="0.3">
      <c r="A16" s="12">
        <v>1</v>
      </c>
      <c r="B16" s="21">
        <v>44305</v>
      </c>
      <c r="C16" s="7" t="s">
        <v>50</v>
      </c>
      <c r="D16" s="7" t="s">
        <v>51</v>
      </c>
      <c r="E16" s="7" t="s">
        <v>52</v>
      </c>
      <c r="F16" s="7" t="s">
        <v>11</v>
      </c>
      <c r="G16" s="11">
        <v>400</v>
      </c>
    </row>
    <row r="17" spans="1:7" ht="19.5" customHeight="1" x14ac:dyDescent="0.3">
      <c r="A17" s="12">
        <v>1</v>
      </c>
      <c r="B17" s="21">
        <v>44347</v>
      </c>
      <c r="C17" s="7" t="s">
        <v>50</v>
      </c>
      <c r="D17" s="7" t="s">
        <v>51</v>
      </c>
      <c r="E17" s="7" t="s">
        <v>52</v>
      </c>
      <c r="F17" s="7" t="s">
        <v>11</v>
      </c>
      <c r="G17" s="11">
        <v>600</v>
      </c>
    </row>
    <row r="18" spans="1:7" ht="19.5" customHeight="1" x14ac:dyDescent="0.3">
      <c r="A18" s="12">
        <v>1</v>
      </c>
      <c r="B18" s="21">
        <v>44396</v>
      </c>
      <c r="C18" s="7" t="s">
        <v>50</v>
      </c>
      <c r="D18" s="7" t="s">
        <v>51</v>
      </c>
      <c r="E18" s="7" t="s">
        <v>52</v>
      </c>
      <c r="F18" s="7" t="s">
        <v>11</v>
      </c>
      <c r="G18" s="11">
        <v>1000</v>
      </c>
    </row>
    <row r="19" spans="1:7" ht="19.5" customHeight="1" x14ac:dyDescent="0.3">
      <c r="A19" s="13">
        <v>1</v>
      </c>
      <c r="B19" s="14">
        <v>44770</v>
      </c>
      <c r="C19" s="15" t="s">
        <v>50</v>
      </c>
      <c r="D19" s="15" t="s">
        <v>51</v>
      </c>
      <c r="E19" s="15" t="s">
        <v>52</v>
      </c>
      <c r="F19" s="15" t="s">
        <v>11</v>
      </c>
      <c r="G19" s="16">
        <v>-665.12</v>
      </c>
    </row>
    <row r="20" spans="1:7" ht="19.5" customHeight="1" x14ac:dyDescent="0.3">
      <c r="A20" s="13">
        <v>1</v>
      </c>
      <c r="B20" s="14">
        <v>44796</v>
      </c>
      <c r="C20" s="15" t="s">
        <v>50</v>
      </c>
      <c r="D20" s="15" t="s">
        <v>51</v>
      </c>
      <c r="E20" s="15" t="s">
        <v>52</v>
      </c>
      <c r="F20" s="15" t="s">
        <v>11</v>
      </c>
      <c r="G20" s="16">
        <v>342.92</v>
      </c>
    </row>
    <row r="21" spans="1:7" ht="19.5" customHeight="1" x14ac:dyDescent="0.3">
      <c r="A21" s="13">
        <v>1</v>
      </c>
      <c r="B21" s="14">
        <v>44825</v>
      </c>
      <c r="C21" s="15" t="s">
        <v>50</v>
      </c>
      <c r="D21" s="15" t="s">
        <v>51</v>
      </c>
      <c r="E21" s="15" t="s">
        <v>52</v>
      </c>
      <c r="F21" s="15" t="s">
        <v>11</v>
      </c>
      <c r="G21" s="16">
        <v>103.99</v>
      </c>
    </row>
    <row r="22" spans="1:7" ht="19.5" customHeight="1" x14ac:dyDescent="0.3">
      <c r="A22" s="13">
        <v>1</v>
      </c>
      <c r="B22" s="14">
        <v>44873</v>
      </c>
      <c r="C22" s="15" t="s">
        <v>50</v>
      </c>
      <c r="D22" s="15" t="s">
        <v>51</v>
      </c>
      <c r="E22" s="15" t="s">
        <v>52</v>
      </c>
      <c r="F22" s="15" t="s">
        <v>11</v>
      </c>
      <c r="G22" s="16">
        <v>1000</v>
      </c>
    </row>
    <row r="23" spans="1:7" ht="19.5" customHeight="1" x14ac:dyDescent="0.3">
      <c r="A23" s="12">
        <v>1</v>
      </c>
      <c r="B23" s="21">
        <v>44951</v>
      </c>
      <c r="C23" s="7" t="s">
        <v>50</v>
      </c>
      <c r="D23" s="7" t="s">
        <v>51</v>
      </c>
      <c r="E23" s="7" t="s">
        <v>52</v>
      </c>
      <c r="F23" s="7" t="s">
        <v>11</v>
      </c>
      <c r="G23" s="11">
        <v>748.42</v>
      </c>
    </row>
    <row r="24" spans="1:7" ht="19.5" customHeight="1" x14ac:dyDescent="0.3">
      <c r="A24" s="12">
        <v>1</v>
      </c>
      <c r="B24" s="21">
        <v>44984</v>
      </c>
      <c r="C24" s="7" t="s">
        <v>50</v>
      </c>
      <c r="D24" s="7" t="s">
        <v>51</v>
      </c>
      <c r="E24" s="7" t="s">
        <v>52</v>
      </c>
      <c r="F24" s="7" t="s">
        <v>11</v>
      </c>
      <c r="G24" s="11">
        <v>1789.51</v>
      </c>
    </row>
    <row r="25" spans="1:7" ht="19.5" customHeight="1" x14ac:dyDescent="0.3">
      <c r="A25" s="12">
        <v>1</v>
      </c>
      <c r="B25" s="21">
        <v>45044</v>
      </c>
      <c r="C25" s="7" t="s">
        <v>50</v>
      </c>
      <c r="D25" s="7" t="s">
        <v>51</v>
      </c>
      <c r="E25" s="7" t="s">
        <v>52</v>
      </c>
      <c r="F25" s="7" t="s">
        <v>11</v>
      </c>
      <c r="G25" s="11">
        <v>500</v>
      </c>
    </row>
    <row r="26" spans="1:7" ht="18.75" customHeight="1" x14ac:dyDescent="0.3">
      <c r="A26" s="12">
        <v>1</v>
      </c>
      <c r="B26" s="21">
        <v>45068</v>
      </c>
      <c r="C26" s="7" t="s">
        <v>50</v>
      </c>
      <c r="D26" s="7" t="s">
        <v>51</v>
      </c>
      <c r="E26" s="7" t="s">
        <v>52</v>
      </c>
      <c r="F26" s="7" t="s">
        <v>11</v>
      </c>
      <c r="G26" s="11">
        <v>380.28</v>
      </c>
    </row>
    <row r="27" spans="1:7" ht="18.75" customHeight="1" x14ac:dyDescent="0.3">
      <c r="A27" s="12">
        <v>1</v>
      </c>
      <c r="B27" s="21">
        <v>45090</v>
      </c>
      <c r="C27" s="7" t="s">
        <v>50</v>
      </c>
      <c r="D27" s="7" t="s">
        <v>51</v>
      </c>
      <c r="E27" s="7" t="s">
        <v>52</v>
      </c>
      <c r="F27" s="7" t="s">
        <v>11</v>
      </c>
      <c r="G27" s="11">
        <v>500</v>
      </c>
    </row>
    <row r="28" spans="1:7" ht="18.75" customHeight="1" x14ac:dyDescent="0.3">
      <c r="A28" s="12">
        <v>1</v>
      </c>
      <c r="B28" s="21">
        <v>45124</v>
      </c>
      <c r="C28" s="7" t="s">
        <v>50</v>
      </c>
      <c r="D28" s="7" t="s">
        <v>51</v>
      </c>
      <c r="E28" s="7" t="s">
        <v>52</v>
      </c>
      <c r="F28" s="7" t="s">
        <v>11</v>
      </c>
      <c r="G28" s="11">
        <v>500</v>
      </c>
    </row>
    <row r="29" spans="1:7" ht="18.75" customHeight="1" x14ac:dyDescent="0.3">
      <c r="A29" s="12">
        <v>1</v>
      </c>
      <c r="B29" s="21">
        <v>45141</v>
      </c>
      <c r="C29" s="7" t="s">
        <v>50</v>
      </c>
      <c r="D29" s="7" t="s">
        <v>51</v>
      </c>
      <c r="E29" s="7" t="s">
        <v>52</v>
      </c>
      <c r="F29" s="7" t="s">
        <v>11</v>
      </c>
      <c r="G29" s="11">
        <v>500</v>
      </c>
    </row>
    <row r="30" spans="1:7" ht="18.75" customHeight="1" x14ac:dyDescent="0.3">
      <c r="A30" s="12">
        <v>1</v>
      </c>
      <c r="B30" s="21">
        <v>45147</v>
      </c>
      <c r="C30" s="7" t="s">
        <v>50</v>
      </c>
      <c r="D30" s="7" t="s">
        <v>51</v>
      </c>
      <c r="E30" s="7" t="s">
        <v>52</v>
      </c>
      <c r="F30" s="7" t="s">
        <v>11</v>
      </c>
      <c r="G30" s="11">
        <v>300</v>
      </c>
    </row>
    <row r="31" spans="1:7" ht="18.75" customHeight="1" x14ac:dyDescent="0.3">
      <c r="A31" s="12">
        <v>1</v>
      </c>
      <c r="B31" s="21">
        <v>45169</v>
      </c>
      <c r="C31" s="7" t="s">
        <v>50</v>
      </c>
      <c r="D31" s="7" t="s">
        <v>51</v>
      </c>
      <c r="E31" s="7" t="s">
        <v>52</v>
      </c>
      <c r="F31" s="7" t="s">
        <v>11</v>
      </c>
      <c r="G31" s="11">
        <v>1500</v>
      </c>
    </row>
    <row r="32" spans="1:7" ht="18.75" customHeight="1" x14ac:dyDescent="0.3">
      <c r="A32" s="12">
        <v>1</v>
      </c>
      <c r="B32" s="21">
        <v>45201</v>
      </c>
      <c r="C32" s="7" t="s">
        <v>50</v>
      </c>
      <c r="D32" s="7" t="s">
        <v>51</v>
      </c>
      <c r="E32" s="7" t="s">
        <v>52</v>
      </c>
      <c r="F32" s="7" t="s">
        <v>11</v>
      </c>
      <c r="G32" s="11">
        <v>700</v>
      </c>
    </row>
    <row r="33" spans="1:7" ht="18.75" customHeight="1" x14ac:dyDescent="0.3">
      <c r="A33" s="12">
        <v>1</v>
      </c>
      <c r="B33" s="21">
        <v>45230</v>
      </c>
      <c r="C33" s="7" t="s">
        <v>50</v>
      </c>
      <c r="D33" s="7" t="s">
        <v>51</v>
      </c>
      <c r="E33" s="7" t="s">
        <v>52</v>
      </c>
      <c r="F33" s="7" t="s">
        <v>11</v>
      </c>
      <c r="G33" s="11">
        <v>1200</v>
      </c>
    </row>
    <row r="34" spans="1:7" ht="18.75" customHeight="1" x14ac:dyDescent="0.3">
      <c r="A34" s="12">
        <v>1</v>
      </c>
      <c r="B34" s="21">
        <v>45260</v>
      </c>
      <c r="C34" s="7" t="s">
        <v>50</v>
      </c>
      <c r="D34" s="7" t="s">
        <v>51</v>
      </c>
      <c r="E34" s="7" t="s">
        <v>52</v>
      </c>
      <c r="F34" s="7" t="s">
        <v>11</v>
      </c>
      <c r="G34" s="11">
        <v>1500</v>
      </c>
    </row>
    <row r="35" spans="1:7" ht="18.75" customHeight="1" x14ac:dyDescent="0.3">
      <c r="A35" s="12">
        <v>1</v>
      </c>
      <c r="B35" s="21">
        <v>45322</v>
      </c>
      <c r="C35" s="7" t="s">
        <v>50</v>
      </c>
      <c r="D35" s="7" t="s">
        <v>51</v>
      </c>
      <c r="E35" s="7" t="s">
        <v>52</v>
      </c>
      <c r="F35" s="7" t="s">
        <v>11</v>
      </c>
      <c r="G35" s="22">
        <v>2100</v>
      </c>
    </row>
    <row r="36" spans="1:7" ht="18.75" customHeight="1" x14ac:dyDescent="0.3">
      <c r="A36" s="12">
        <v>1</v>
      </c>
      <c r="B36" s="21">
        <v>45350</v>
      </c>
      <c r="C36" s="7" t="s">
        <v>50</v>
      </c>
      <c r="D36" s="7" t="s">
        <v>51</v>
      </c>
      <c r="E36" s="7" t="s">
        <v>52</v>
      </c>
      <c r="F36" s="7" t="s">
        <v>11</v>
      </c>
      <c r="G36" s="22">
        <v>1100</v>
      </c>
    </row>
    <row r="37" spans="1:7" ht="18.75" customHeight="1" x14ac:dyDescent="0.3">
      <c r="A37" s="12">
        <v>1</v>
      </c>
      <c r="B37" s="21">
        <v>45382</v>
      </c>
      <c r="C37" s="7" t="s">
        <v>50</v>
      </c>
      <c r="D37" s="7" t="s">
        <v>51</v>
      </c>
      <c r="E37" s="7" t="s">
        <v>52</v>
      </c>
      <c r="F37" s="7" t="s">
        <v>11</v>
      </c>
      <c r="G37" s="22">
        <v>1900</v>
      </c>
    </row>
    <row r="38" spans="1:7" ht="18.75" customHeight="1" x14ac:dyDescent="0.3">
      <c r="A38" s="12">
        <v>1</v>
      </c>
      <c r="B38" s="21">
        <v>45412</v>
      </c>
      <c r="C38" s="7" t="s">
        <v>50</v>
      </c>
      <c r="D38" s="7" t="s">
        <v>51</v>
      </c>
      <c r="E38" s="7" t="s">
        <v>52</v>
      </c>
      <c r="F38" s="7" t="s">
        <v>11</v>
      </c>
      <c r="G38" s="22">
        <v>1450</v>
      </c>
    </row>
    <row r="39" spans="1:7" ht="18.75" customHeight="1" x14ac:dyDescent="0.3">
      <c r="A39" s="12">
        <v>1</v>
      </c>
      <c r="B39" s="21">
        <v>45443</v>
      </c>
      <c r="C39" s="7" t="s">
        <v>50</v>
      </c>
      <c r="D39" s="7" t="s">
        <v>51</v>
      </c>
      <c r="E39" s="7" t="s">
        <v>52</v>
      </c>
      <c r="F39" s="7" t="s">
        <v>11</v>
      </c>
      <c r="G39" s="22">
        <v>769.59</v>
      </c>
    </row>
    <row r="40" spans="1:7" ht="18.75" customHeight="1" x14ac:dyDescent="0.3">
      <c r="A40" s="12">
        <v>1</v>
      </c>
      <c r="B40" s="21">
        <v>45473</v>
      </c>
      <c r="C40" s="7" t="s">
        <v>50</v>
      </c>
      <c r="D40" s="7" t="s">
        <v>51</v>
      </c>
      <c r="E40" s="7" t="s">
        <v>52</v>
      </c>
      <c r="F40" s="7" t="s">
        <v>11</v>
      </c>
      <c r="G40" s="22">
        <v>1980</v>
      </c>
    </row>
    <row r="41" spans="1:7" ht="18.75" customHeight="1" x14ac:dyDescent="0.3">
      <c r="A41" s="12">
        <v>1</v>
      </c>
      <c r="B41" s="21">
        <v>45565</v>
      </c>
      <c r="C41" s="7" t="s">
        <v>50</v>
      </c>
      <c r="D41" s="7" t="s">
        <v>51</v>
      </c>
      <c r="E41" s="7" t="s">
        <v>52</v>
      </c>
      <c r="F41" s="7" t="s">
        <v>11</v>
      </c>
      <c r="G41" s="22">
        <v>650</v>
      </c>
    </row>
    <row r="42" spans="1:7" ht="18.75" customHeight="1" x14ac:dyDescent="0.3">
      <c r="A42" s="12">
        <v>1</v>
      </c>
      <c r="B42" s="21">
        <v>45596</v>
      </c>
      <c r="C42" s="7" t="s">
        <v>50</v>
      </c>
      <c r="D42" s="7" t="s">
        <v>51</v>
      </c>
      <c r="E42" s="7" t="s">
        <v>52</v>
      </c>
      <c r="F42" s="7" t="s">
        <v>11</v>
      </c>
      <c r="G42" s="22">
        <v>1800</v>
      </c>
    </row>
    <row r="43" spans="1:7" ht="18.75" customHeight="1" x14ac:dyDescent="0.3">
      <c r="A43" s="12">
        <v>1</v>
      </c>
      <c r="B43" s="21">
        <v>45626</v>
      </c>
      <c r="C43" s="7" t="s">
        <v>50</v>
      </c>
      <c r="D43" s="7" t="s">
        <v>51</v>
      </c>
      <c r="E43" s="7" t="s">
        <v>52</v>
      </c>
      <c r="F43" s="7" t="s">
        <v>11</v>
      </c>
      <c r="G43" s="22">
        <v>1549.84</v>
      </c>
    </row>
    <row r="44" spans="1:7" ht="18.75" customHeight="1" x14ac:dyDescent="0.3">
      <c r="A44" s="12">
        <v>1</v>
      </c>
      <c r="B44" s="21">
        <v>45657</v>
      </c>
      <c r="C44" s="7" t="s">
        <v>50</v>
      </c>
      <c r="D44" s="7" t="s">
        <v>51</v>
      </c>
      <c r="E44" s="7" t="s">
        <v>52</v>
      </c>
      <c r="F44" s="7" t="s">
        <v>11</v>
      </c>
      <c r="G44" s="22">
        <v>626.57000000000005</v>
      </c>
    </row>
    <row r="45" spans="1:7" ht="18.75" customHeight="1" x14ac:dyDescent="0.3">
      <c r="A45" s="12">
        <v>1</v>
      </c>
      <c r="B45" s="21">
        <v>45688</v>
      </c>
      <c r="C45" s="7" t="s">
        <v>50</v>
      </c>
      <c r="D45" s="7" t="s">
        <v>51</v>
      </c>
      <c r="E45" s="7" t="s">
        <v>52</v>
      </c>
      <c r="F45" s="7" t="s">
        <v>11</v>
      </c>
      <c r="G45" s="22">
        <v>1500</v>
      </c>
    </row>
    <row r="46" spans="1:7" ht="18.75" customHeight="1" x14ac:dyDescent="0.3">
      <c r="A46" s="12">
        <v>1</v>
      </c>
      <c r="B46" s="21">
        <v>45716</v>
      </c>
      <c r="C46" s="7" t="s">
        <v>50</v>
      </c>
      <c r="D46" s="7" t="s">
        <v>51</v>
      </c>
      <c r="E46" s="7" t="s">
        <v>52</v>
      </c>
      <c r="F46" s="7" t="s">
        <v>11</v>
      </c>
      <c r="G46" s="22">
        <v>1950</v>
      </c>
    </row>
    <row r="47" spans="1:7" ht="18.75" customHeight="1" x14ac:dyDescent="0.3">
      <c r="A47" s="12">
        <v>1</v>
      </c>
      <c r="B47" s="21">
        <v>45747</v>
      </c>
      <c r="C47" s="7" t="s">
        <v>50</v>
      </c>
      <c r="D47" s="7" t="s">
        <v>51</v>
      </c>
      <c r="E47" s="7" t="s">
        <v>52</v>
      </c>
      <c r="F47" s="7" t="s">
        <v>11</v>
      </c>
      <c r="G47" s="22">
        <v>2625</v>
      </c>
    </row>
    <row r="48" spans="1:7" ht="18.75" customHeight="1" x14ac:dyDescent="0.3">
      <c r="A48" s="12">
        <v>1</v>
      </c>
      <c r="B48" s="21">
        <v>45777</v>
      </c>
      <c r="C48" s="7" t="s">
        <v>50</v>
      </c>
      <c r="D48" s="7" t="s">
        <v>51</v>
      </c>
      <c r="E48" s="7" t="s">
        <v>52</v>
      </c>
      <c r="F48" s="7" t="s">
        <v>11</v>
      </c>
      <c r="G48" s="22">
        <v>4200</v>
      </c>
    </row>
    <row r="49" spans="1:10" ht="18.75" customHeight="1" x14ac:dyDescent="0.3">
      <c r="A49" s="12">
        <v>1</v>
      </c>
      <c r="B49" s="21">
        <v>45784</v>
      </c>
      <c r="C49" s="7" t="s">
        <v>50</v>
      </c>
      <c r="D49" s="7" t="s">
        <v>51</v>
      </c>
      <c r="E49" s="7" t="s">
        <v>52</v>
      </c>
      <c r="F49" s="7" t="s">
        <v>11</v>
      </c>
      <c r="G49" s="11">
        <v>1400</v>
      </c>
    </row>
    <row r="50" spans="1:10" ht="18.75" customHeight="1" x14ac:dyDescent="0.3">
      <c r="A50" s="12">
        <v>1</v>
      </c>
      <c r="B50" s="21">
        <v>45791</v>
      </c>
      <c r="C50" s="7" t="s">
        <v>50</v>
      </c>
      <c r="D50" s="7" t="s">
        <v>51</v>
      </c>
      <c r="E50" s="7" t="s">
        <v>52</v>
      </c>
      <c r="F50" s="7" t="s">
        <v>11</v>
      </c>
      <c r="G50" s="11">
        <v>210</v>
      </c>
    </row>
    <row r="51" spans="1:10" ht="18.75" customHeight="1" x14ac:dyDescent="0.3">
      <c r="A51" s="12">
        <v>1</v>
      </c>
      <c r="B51" s="21">
        <v>45803</v>
      </c>
      <c r="C51" s="7" t="s">
        <v>50</v>
      </c>
      <c r="D51" s="7" t="s">
        <v>51</v>
      </c>
      <c r="E51" s="7" t="s">
        <v>52</v>
      </c>
      <c r="F51" s="7" t="s">
        <v>11</v>
      </c>
      <c r="G51" s="11">
        <v>1290</v>
      </c>
    </row>
    <row r="52" spans="1:10" ht="18.75" customHeight="1" x14ac:dyDescent="0.3">
      <c r="A52" s="12">
        <v>1</v>
      </c>
      <c r="B52" s="21">
        <v>45810</v>
      </c>
      <c r="C52" s="7" t="s">
        <v>50</v>
      </c>
      <c r="D52" s="7" t="s">
        <v>51</v>
      </c>
      <c r="E52" s="7" t="s">
        <v>52</v>
      </c>
      <c r="F52" s="7" t="s">
        <v>11</v>
      </c>
      <c r="G52" s="11">
        <v>2000</v>
      </c>
    </row>
    <row r="53" spans="1:10" ht="18.75" customHeight="1" x14ac:dyDescent="0.3">
      <c r="A53" s="12">
        <v>1</v>
      </c>
      <c r="B53" s="21">
        <v>45821</v>
      </c>
      <c r="C53" s="7" t="s">
        <v>50</v>
      </c>
      <c r="D53" s="7" t="s">
        <v>51</v>
      </c>
      <c r="E53" s="7" t="s">
        <v>52</v>
      </c>
      <c r="F53" s="7" t="s">
        <v>11</v>
      </c>
      <c r="G53" s="11">
        <v>800</v>
      </c>
    </row>
    <row r="54" spans="1:10" ht="18.75" customHeight="1" x14ac:dyDescent="0.3">
      <c r="A54" s="12">
        <v>1</v>
      </c>
      <c r="B54" s="21">
        <v>45838</v>
      </c>
      <c r="C54" s="7" t="s">
        <v>50</v>
      </c>
      <c r="D54" s="7" t="s">
        <v>51</v>
      </c>
      <c r="E54" s="7" t="s">
        <v>52</v>
      </c>
      <c r="F54" s="7" t="s">
        <v>11</v>
      </c>
      <c r="G54" s="11">
        <v>1500</v>
      </c>
      <c r="J54" s="9"/>
    </row>
    <row r="55" spans="1:10" ht="18.75" customHeight="1" x14ac:dyDescent="0.3">
      <c r="A55" s="12">
        <v>1</v>
      </c>
      <c r="B55" s="21">
        <v>45858</v>
      </c>
      <c r="C55" s="7" t="s">
        <v>50</v>
      </c>
      <c r="D55" s="7" t="s">
        <v>51</v>
      </c>
      <c r="E55" s="7" t="s">
        <v>52</v>
      </c>
      <c r="F55" s="7" t="s">
        <v>11</v>
      </c>
      <c r="G55" s="11">
        <v>1750.86</v>
      </c>
    </row>
    <row r="56" spans="1:10" ht="18.75" customHeight="1" x14ac:dyDescent="0.3">
      <c r="A56" s="12">
        <v>1</v>
      </c>
      <c r="B56" s="21">
        <v>45873</v>
      </c>
      <c r="C56" s="7" t="s">
        <v>50</v>
      </c>
      <c r="D56" s="7" t="s">
        <v>51</v>
      </c>
      <c r="E56" s="7" t="s">
        <v>52</v>
      </c>
      <c r="F56" s="7" t="s">
        <v>11</v>
      </c>
      <c r="G56" s="11">
        <v>1400</v>
      </c>
    </row>
    <row r="57" spans="1:10" ht="18.75" customHeight="1" x14ac:dyDescent="0.3">
      <c r="A57" s="12">
        <v>1</v>
      </c>
      <c r="B57" s="21">
        <v>45875</v>
      </c>
      <c r="C57" s="7" t="s">
        <v>50</v>
      </c>
      <c r="D57" s="7" t="s">
        <v>51</v>
      </c>
      <c r="E57" s="7" t="s">
        <v>52</v>
      </c>
      <c r="F57" s="7" t="s">
        <v>11</v>
      </c>
      <c r="G57" s="11">
        <v>1000</v>
      </c>
    </row>
    <row r="58" spans="1:10" ht="18.75" customHeight="1" x14ac:dyDescent="0.3">
      <c r="A58" s="12">
        <v>1</v>
      </c>
      <c r="B58" s="21">
        <v>45291</v>
      </c>
      <c r="C58" s="7" t="s">
        <v>50</v>
      </c>
      <c r="D58" s="7" t="s">
        <v>54</v>
      </c>
      <c r="E58" s="7" t="s">
        <v>52</v>
      </c>
      <c r="F58" s="7" t="s">
        <v>11</v>
      </c>
      <c r="G58" s="11">
        <v>650</v>
      </c>
    </row>
    <row r="59" spans="1:10" ht="18.75" customHeight="1" x14ac:dyDescent="0.3">
      <c r="A59" s="12">
        <v>1</v>
      </c>
      <c r="B59" s="21">
        <v>45657</v>
      </c>
      <c r="C59" s="7" t="s">
        <v>50</v>
      </c>
      <c r="D59" s="7" t="s">
        <v>54</v>
      </c>
      <c r="E59" s="7" t="s">
        <v>52</v>
      </c>
      <c r="F59" s="7" t="s">
        <v>11</v>
      </c>
      <c r="G59" s="11">
        <v>1075</v>
      </c>
    </row>
    <row r="60" spans="1:10" ht="18.75" customHeight="1" x14ac:dyDescent="0.3">
      <c r="A60" s="12">
        <v>1</v>
      </c>
      <c r="B60" s="21">
        <v>45678</v>
      </c>
      <c r="C60" s="7" t="s">
        <v>50</v>
      </c>
      <c r="D60" s="7" t="s">
        <v>54</v>
      </c>
      <c r="E60" s="7" t="s">
        <v>52</v>
      </c>
      <c r="F60" s="7" t="s">
        <v>11</v>
      </c>
      <c r="G60" s="11">
        <v>800</v>
      </c>
    </row>
    <row r="61" spans="1:10" ht="18.75" customHeight="1" x14ac:dyDescent="0.3">
      <c r="A61" s="12">
        <v>1</v>
      </c>
      <c r="B61" s="21">
        <v>45688</v>
      </c>
      <c r="C61" s="7" t="s">
        <v>50</v>
      </c>
      <c r="D61" s="7" t="s">
        <v>54</v>
      </c>
      <c r="E61" s="7" t="s">
        <v>52</v>
      </c>
      <c r="F61" s="7" t="s">
        <v>11</v>
      </c>
      <c r="G61" s="11">
        <v>1000</v>
      </c>
    </row>
    <row r="62" spans="1:10" ht="18.75" customHeight="1" x14ac:dyDescent="0.3">
      <c r="A62" s="12">
        <v>1</v>
      </c>
      <c r="B62" s="21">
        <v>45747</v>
      </c>
      <c r="C62" s="7" t="s">
        <v>50</v>
      </c>
      <c r="D62" s="7" t="s">
        <v>54</v>
      </c>
      <c r="E62" s="7" t="s">
        <v>52</v>
      </c>
      <c r="F62" s="7" t="s">
        <v>11</v>
      </c>
      <c r="G62" s="11">
        <v>625</v>
      </c>
    </row>
    <row r="63" spans="1:10" ht="18.75" customHeight="1" x14ac:dyDescent="0.3">
      <c r="A63" s="12">
        <v>1</v>
      </c>
      <c r="B63" s="21">
        <v>45777</v>
      </c>
      <c r="C63" s="7" t="s">
        <v>50</v>
      </c>
      <c r="D63" s="7" t="s">
        <v>54</v>
      </c>
      <c r="E63" s="7" t="s">
        <v>52</v>
      </c>
      <c r="F63" s="7" t="s">
        <v>11</v>
      </c>
      <c r="G63" s="11">
        <v>1150</v>
      </c>
    </row>
    <row r="64" spans="1:10" ht="18.75" customHeight="1" x14ac:dyDescent="0.3">
      <c r="A64" s="12">
        <v>1</v>
      </c>
      <c r="B64" s="21">
        <v>45784</v>
      </c>
      <c r="C64" s="7" t="s">
        <v>50</v>
      </c>
      <c r="D64" s="7" t="s">
        <v>54</v>
      </c>
      <c r="E64" s="7" t="s">
        <v>52</v>
      </c>
      <c r="F64" s="7" t="s">
        <v>11</v>
      </c>
      <c r="G64" s="11">
        <v>600</v>
      </c>
    </row>
    <row r="65" spans="1:7" ht="18.75" customHeight="1" x14ac:dyDescent="0.3">
      <c r="A65" s="12">
        <v>1</v>
      </c>
      <c r="B65" s="21">
        <v>45838</v>
      </c>
      <c r="C65" s="7" t="s">
        <v>50</v>
      </c>
      <c r="D65" s="7" t="s">
        <v>54</v>
      </c>
      <c r="E65" s="7" t="s">
        <v>52</v>
      </c>
      <c r="F65" s="7" t="s">
        <v>11</v>
      </c>
      <c r="G65" s="11">
        <v>500</v>
      </c>
    </row>
    <row r="66" spans="1:7" ht="18.75" customHeight="1" x14ac:dyDescent="0.3">
      <c r="A66" s="12">
        <v>1</v>
      </c>
      <c r="B66" s="21">
        <v>45291</v>
      </c>
      <c r="C66" s="7" t="s">
        <v>50</v>
      </c>
      <c r="D66" s="7" t="s">
        <v>55</v>
      </c>
      <c r="E66" s="7" t="s">
        <v>52</v>
      </c>
      <c r="F66" s="7" t="s">
        <v>11</v>
      </c>
      <c r="G66" s="11">
        <v>2500</v>
      </c>
    </row>
    <row r="67" spans="1:7" ht="18.75" customHeight="1" x14ac:dyDescent="0.3">
      <c r="A67" s="12">
        <v>1</v>
      </c>
      <c r="B67" s="21">
        <v>45830</v>
      </c>
      <c r="C67" s="7" t="s">
        <v>50</v>
      </c>
      <c r="D67" s="7" t="s">
        <v>55</v>
      </c>
      <c r="E67" s="7" t="s">
        <v>52</v>
      </c>
      <c r="F67" s="7" t="s">
        <v>11</v>
      </c>
      <c r="G67" s="11">
        <v>1000</v>
      </c>
    </row>
    <row r="68" spans="1:7" ht="18.75" customHeight="1" x14ac:dyDescent="0.3">
      <c r="A68" s="12">
        <v>1</v>
      </c>
      <c r="B68" s="21">
        <v>45443</v>
      </c>
      <c r="C68" s="7" t="s">
        <v>56</v>
      </c>
      <c r="D68" s="7" t="s">
        <v>56</v>
      </c>
      <c r="E68" s="7" t="s">
        <v>52</v>
      </c>
      <c r="F68" s="7" t="s">
        <v>11</v>
      </c>
      <c r="G68" s="11">
        <v>1000</v>
      </c>
    </row>
    <row r="69" spans="1:7" ht="18.75" customHeight="1" x14ac:dyDescent="0.3">
      <c r="A69" s="12">
        <v>1</v>
      </c>
      <c r="B69" s="21">
        <v>45626</v>
      </c>
      <c r="C69" s="7" t="s">
        <v>56</v>
      </c>
      <c r="D69" s="7" t="s">
        <v>56</v>
      </c>
      <c r="E69" s="7" t="s">
        <v>52</v>
      </c>
      <c r="F69" s="7" t="s">
        <v>11</v>
      </c>
      <c r="G69" s="11">
        <v>1178.6300000000001</v>
      </c>
    </row>
    <row r="70" spans="1:7" ht="18.75" customHeight="1" x14ac:dyDescent="0.3">
      <c r="A70" s="12">
        <v>1</v>
      </c>
      <c r="B70" s="21">
        <v>45657</v>
      </c>
      <c r="C70" s="7" t="s">
        <v>56</v>
      </c>
      <c r="D70" s="7" t="s">
        <v>56</v>
      </c>
      <c r="E70" s="7" t="s">
        <v>52</v>
      </c>
      <c r="F70" s="7" t="s">
        <v>11</v>
      </c>
      <c r="G70" s="11">
        <v>1500</v>
      </c>
    </row>
    <row r="71" spans="1:7" ht="18.75" customHeight="1" x14ac:dyDescent="0.3">
      <c r="A71" s="12">
        <v>1</v>
      </c>
      <c r="B71" s="21">
        <v>45688</v>
      </c>
      <c r="C71" s="7" t="s">
        <v>56</v>
      </c>
      <c r="D71" s="7" t="s">
        <v>56</v>
      </c>
      <c r="E71" s="7" t="s">
        <v>52</v>
      </c>
      <c r="F71" s="7" t="s">
        <v>11</v>
      </c>
      <c r="G71" s="11">
        <v>3129.77</v>
      </c>
    </row>
    <row r="72" spans="1:7" ht="18.75" customHeight="1" x14ac:dyDescent="0.3">
      <c r="A72" s="12">
        <v>1</v>
      </c>
      <c r="B72" s="21">
        <v>45716</v>
      </c>
      <c r="C72" s="7" t="s">
        <v>56</v>
      </c>
      <c r="D72" s="7" t="s">
        <v>56</v>
      </c>
      <c r="E72" s="7" t="s">
        <v>52</v>
      </c>
      <c r="F72" s="7" t="s">
        <v>11</v>
      </c>
      <c r="G72" s="11">
        <v>1200</v>
      </c>
    </row>
    <row r="73" spans="1:7" ht="18.75" customHeight="1" x14ac:dyDescent="0.3">
      <c r="A73" s="12">
        <v>1</v>
      </c>
      <c r="B73" s="21">
        <v>45747</v>
      </c>
      <c r="C73" s="7" t="s">
        <v>56</v>
      </c>
      <c r="D73" s="7" t="s">
        <v>56</v>
      </c>
      <c r="E73" s="7" t="s">
        <v>52</v>
      </c>
      <c r="F73" s="7" t="s">
        <v>11</v>
      </c>
      <c r="G73" s="11">
        <v>991.6</v>
      </c>
    </row>
    <row r="74" spans="1:7" ht="18.75" customHeight="1" x14ac:dyDescent="0.3">
      <c r="A74" s="12">
        <v>1</v>
      </c>
      <c r="B74" s="21">
        <v>45777</v>
      </c>
      <c r="C74" s="7" t="s">
        <v>56</v>
      </c>
      <c r="D74" s="7" t="s">
        <v>56</v>
      </c>
      <c r="E74" s="7" t="s">
        <v>52</v>
      </c>
      <c r="F74" s="7" t="s">
        <v>11</v>
      </c>
      <c r="G74" s="11">
        <v>2500</v>
      </c>
    </row>
    <row r="75" spans="1:7" ht="18.75" customHeight="1" x14ac:dyDescent="0.3">
      <c r="A75" s="12">
        <v>1</v>
      </c>
      <c r="B75" s="21">
        <v>45808</v>
      </c>
      <c r="C75" s="7" t="s">
        <v>56</v>
      </c>
      <c r="D75" s="7" t="s">
        <v>56</v>
      </c>
      <c r="E75" s="7" t="s">
        <v>52</v>
      </c>
      <c r="F75" s="7" t="s">
        <v>11</v>
      </c>
      <c r="G75" s="11">
        <v>1200</v>
      </c>
    </row>
    <row r="76" spans="1:7" ht="18.75" customHeight="1" x14ac:dyDescent="0.3">
      <c r="A76" s="12">
        <v>1</v>
      </c>
      <c r="B76" s="21">
        <v>45838</v>
      </c>
      <c r="C76" s="7" t="s">
        <v>56</v>
      </c>
      <c r="D76" s="7" t="s">
        <v>56</v>
      </c>
      <c r="E76" s="7" t="s">
        <v>52</v>
      </c>
      <c r="F76" s="7" t="s">
        <v>11</v>
      </c>
      <c r="G76" s="11">
        <v>3300</v>
      </c>
    </row>
    <row r="77" spans="1:7" ht="18.75" customHeight="1" x14ac:dyDescent="0.3">
      <c r="A77" s="12">
        <v>1</v>
      </c>
      <c r="B77" s="21">
        <v>45869</v>
      </c>
      <c r="C77" s="7" t="s">
        <v>56</v>
      </c>
      <c r="D77" s="7" t="s">
        <v>56</v>
      </c>
      <c r="E77" s="7" t="s">
        <v>52</v>
      </c>
      <c r="F77" s="7" t="s">
        <v>11</v>
      </c>
      <c r="G77" s="11">
        <v>998.93</v>
      </c>
    </row>
    <row r="78" spans="1:7" ht="18.75" customHeight="1" x14ac:dyDescent="0.3">
      <c r="A78" s="12">
        <v>1</v>
      </c>
      <c r="B78" s="21">
        <v>45900</v>
      </c>
      <c r="C78" s="7" t="s">
        <v>56</v>
      </c>
      <c r="D78" s="7" t="s">
        <v>56</v>
      </c>
      <c r="E78" s="7" t="s">
        <v>52</v>
      </c>
      <c r="F78" s="7" t="s">
        <v>11</v>
      </c>
      <c r="G78" s="11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Test2</vt:lpstr>
      <vt:lpstr>Test</vt:lpstr>
      <vt:lpstr>Investments</vt:lpstr>
      <vt:lpstr>Geral</vt:lpstr>
      <vt:lpstr>Euro</vt:lpstr>
      <vt:lpstr>Real</vt:lpstr>
      <vt:lpstr>Aportes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Jucelio Tavares Junior</cp:lastModifiedBy>
  <dcterms:created xsi:type="dcterms:W3CDTF">2025-08-13T14:16:37Z</dcterms:created>
  <dcterms:modified xsi:type="dcterms:W3CDTF">2025-09-11T16:39:49Z</dcterms:modified>
</cp:coreProperties>
</file>