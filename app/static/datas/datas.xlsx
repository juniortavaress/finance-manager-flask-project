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b40b33bde7a406e5/Documentos/GitHub/finance-manager-flask-project/app/static/datas/"/>
    </mc:Choice>
  </mc:AlternateContent>
  <xr:revisionPtr revIDLastSave="1" documentId="14_{F22367B8-584B-4095-BBF6-1A5C795E651D}" xr6:coauthVersionLast="47" xr6:coauthVersionMax="47" xr10:uidLastSave="{987A60A7-B64D-4E43-9A0A-74C269DFE782}"/>
  <bookViews>
    <workbookView xWindow="-23148" yWindow="-108" windowWidth="23256" windowHeight="12456" activeTab="1" xr2:uid="{00000000-000D-0000-FFFF-FFFF00000000}"/>
  </bookViews>
  <sheets>
    <sheet name="Entrada_Saida_Real" sheetId="1" r:id="rId1"/>
    <sheet name="Investido" sheetId="2" r:id="rId2"/>
    <sheet name="Entrada_Saida_Euro" sheetId="3" r:id="rId3"/>
    <sheet name="Categori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3" l="1"/>
  <c r="D14" i="3"/>
  <c r="H14" i="3" s="1"/>
  <c r="G13" i="3"/>
  <c r="D13" i="3"/>
  <c r="H13" i="3" s="1"/>
  <c r="G12" i="3"/>
  <c r="D12" i="3"/>
  <c r="H12" i="3" s="1"/>
  <c r="G11" i="3"/>
  <c r="H11" i="3" s="1"/>
  <c r="D11" i="3"/>
  <c r="G10" i="3"/>
  <c r="D10" i="3"/>
  <c r="H10" i="3" s="1"/>
  <c r="G9" i="3"/>
  <c r="D9" i="3"/>
  <c r="H9" i="3" s="1"/>
  <c r="H8" i="3"/>
  <c r="G8" i="3"/>
  <c r="D8" i="3"/>
  <c r="G7" i="3"/>
  <c r="D7" i="3"/>
  <c r="H7" i="3" s="1"/>
  <c r="G6" i="3"/>
  <c r="D6" i="3"/>
  <c r="H6" i="3" s="1"/>
  <c r="G5" i="3"/>
  <c r="D5" i="3"/>
  <c r="H5" i="3" s="1"/>
  <c r="G4" i="3"/>
  <c r="D4" i="3"/>
  <c r="H4" i="3" s="1"/>
  <c r="G3" i="3"/>
  <c r="H3" i="3" s="1"/>
  <c r="D3" i="3"/>
  <c r="G2" i="3"/>
  <c r="D2" i="3"/>
  <c r="H2" i="3" s="1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G19" i="1"/>
  <c r="D19" i="1"/>
  <c r="H19" i="1" s="1"/>
  <c r="G18" i="1"/>
  <c r="D18" i="1"/>
  <c r="H18" i="1" s="1"/>
  <c r="G17" i="1"/>
  <c r="H17" i="1" s="1"/>
  <c r="D17" i="1"/>
  <c r="G16" i="1"/>
  <c r="D16" i="1"/>
  <c r="H16" i="1" s="1"/>
  <c r="G15" i="1"/>
  <c r="D15" i="1"/>
  <c r="H15" i="1" s="1"/>
  <c r="H14" i="1"/>
  <c r="G14" i="1"/>
  <c r="D14" i="1"/>
  <c r="G13" i="1"/>
  <c r="D13" i="1"/>
  <c r="H13" i="1" s="1"/>
  <c r="G12" i="1"/>
  <c r="D12" i="1"/>
  <c r="H12" i="1" s="1"/>
  <c r="G11" i="1"/>
  <c r="D11" i="1"/>
  <c r="H11" i="1" s="1"/>
  <c r="G10" i="1"/>
  <c r="D10" i="1"/>
  <c r="H10" i="1" s="1"/>
  <c r="G9" i="1"/>
  <c r="H9" i="1" s="1"/>
  <c r="D9" i="1"/>
  <c r="G8" i="1"/>
  <c r="D8" i="1"/>
  <c r="H8" i="1" s="1"/>
  <c r="G7" i="1"/>
  <c r="D7" i="1"/>
  <c r="H7" i="1" s="1"/>
  <c r="H6" i="1"/>
  <c r="G6" i="1"/>
  <c r="D6" i="1"/>
  <c r="G5" i="1"/>
  <c r="D5" i="1"/>
  <c r="H5" i="1" s="1"/>
  <c r="G4" i="1"/>
  <c r="D4" i="1"/>
  <c r="H4" i="1" s="1"/>
  <c r="G3" i="1"/>
  <c r="D3" i="1"/>
  <c r="H3" i="1" s="1"/>
  <c r="G2" i="1"/>
  <c r="D2" i="1"/>
  <c r="H2" i="1" s="1"/>
</calcChain>
</file>

<file path=xl/sharedStrings.xml><?xml version="1.0" encoding="utf-8"?>
<sst xmlns="http://schemas.openxmlformats.org/spreadsheetml/2006/main" count="31" uniqueCount="23">
  <si>
    <t>Categoria</t>
  </si>
  <si>
    <t>Alimentação</t>
  </si>
  <si>
    <t>Contas Fixas</t>
  </si>
  <si>
    <t>Higiene/Limpeza</t>
  </si>
  <si>
    <t>Jantinhas</t>
  </si>
  <si>
    <t>Viagem</t>
  </si>
  <si>
    <t>Moradia</t>
  </si>
  <si>
    <t>Mensa</t>
  </si>
  <si>
    <t>Outros</t>
  </si>
  <si>
    <t>Restaurante</t>
  </si>
  <si>
    <t>Roupa</t>
  </si>
  <si>
    <t>Data</t>
  </si>
  <si>
    <t>Salario</t>
  </si>
  <si>
    <t>Convertido</t>
  </si>
  <si>
    <t>Entrada</t>
  </si>
  <si>
    <t>Gastos Mensal</t>
  </si>
  <si>
    <t>Não Recorrente</t>
  </si>
  <si>
    <t>Saida</t>
  </si>
  <si>
    <t>Saldo</t>
  </si>
  <si>
    <t>Aportes</t>
  </si>
  <si>
    <t>Investido</t>
  </si>
  <si>
    <t>Lucro</t>
  </si>
  <si>
    <t>Recebido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</si>
</sst>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R$&quot;\ #,##0.00;\-&quot;R$&quot;\ #,##0.00"/>
  </numFmts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u/>
      <sz val="11"/>
      <color rgb="FF000000"/>
      <name val="Aptos Narrow"/>
      <family val="2"/>
    </font>
    <font>
      <u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E8E8E8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left"/>
    </xf>
    <xf numFmtId="17" fontId="1" fillId="2" borderId="2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7" fontId="2" fillId="0" borderId="4" xfId="0" applyNumberFormat="1" applyFont="1" applyBorder="1" applyAlignment="1">
      <alignment horizontal="center"/>
    </xf>
    <xf numFmtId="7" fontId="3" fillId="0" borderId="4" xfId="0" applyNumberFormat="1" applyFont="1" applyBorder="1" applyAlignment="1">
      <alignment horizontal="center"/>
    </xf>
    <xf numFmtId="7" fontId="0" fillId="0" borderId="0" xfId="0" applyNumberFormat="1" applyAlignment="1">
      <alignment horizontal="center"/>
    </xf>
    <xf numFmtId="17" fontId="0" fillId="0" borderId="0" xfId="0" applyNumberFormat="1" applyAlignment="1">
      <alignment horizontal="center"/>
    </xf>
    <xf numFmtId="17" fontId="1" fillId="2" borderId="1" xfId="0" applyNumberFormat="1" applyFont="1" applyFill="1" applyBorder="1" applyAlignment="1">
      <alignment horizontal="center"/>
    </xf>
    <xf numFmtId="7" fontId="1" fillId="0" borderId="5" xfId="0" applyNumberFormat="1" applyFont="1" applyBorder="1" applyAlignment="1">
      <alignment horizontal="center"/>
    </xf>
    <xf numFmtId="7" fontId="1" fillId="2" borderId="2" xfId="0" applyNumberFormat="1" applyFont="1" applyFill="1" applyBorder="1" applyAlignment="1">
      <alignment horizontal="center"/>
    </xf>
    <xf numFmtId="17" fontId="1" fillId="2" borderId="6" xfId="0" applyNumberFormat="1" applyFont="1" applyFill="1" applyBorder="1" applyAlignment="1">
      <alignment horizontal="center"/>
    </xf>
    <xf numFmtId="7" fontId="2" fillId="2" borderId="7" xfId="0" applyNumberFormat="1" applyFont="1" applyFill="1" applyBorder="1" applyAlignment="1">
      <alignment horizontal="center"/>
    </xf>
    <xf numFmtId="7" fontId="2" fillId="0" borderId="4" xfId="0" applyNumberFormat="1" applyFont="1" applyBorder="1" applyAlignment="1">
      <alignment horizontal="right"/>
    </xf>
    <xf numFmtId="7" fontId="4" fillId="0" borderId="4" xfId="0" applyNumberFormat="1" applyFont="1" applyBorder="1" applyAlignment="1">
      <alignment horizontal="center"/>
    </xf>
    <xf numFmtId="17" fontId="0" fillId="0" borderId="0" xfId="0" applyNumberFormat="1"/>
    <xf numFmtId="7" fontId="0" fillId="0" borderId="0" xfId="0" applyNumberFormat="1"/>
    <xf numFmtId="7" fontId="5" fillId="0" borderId="4" xfId="0" applyNumberFormat="1" applyFont="1" applyBorder="1" applyAlignment="1">
      <alignment horizontal="center"/>
    </xf>
    <xf numFmtId="7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left"/>
    </xf>
    <xf numFmtId="7" fontId="1" fillId="0" borderId="4" xfId="0" applyNumberFormat="1" applyFont="1" applyBorder="1" applyAlignment="1">
      <alignment horizontal="center"/>
    </xf>
    <xf numFmtId="7" fontId="6" fillId="0" borderId="4" xfId="0" applyNumberFormat="1" applyFont="1" applyBorder="1" applyAlignment="1">
      <alignment horizontal="left"/>
    </xf>
    <xf numFmtId="7" fontId="1" fillId="3" borderId="2" xfId="0" applyNumberFormat="1" applyFont="1" applyFill="1" applyBorder="1" applyAlignment="1">
      <alignment horizontal="center"/>
    </xf>
    <xf numFmtId="7" fontId="4" fillId="3" borderId="7" xfId="0" applyNumberFormat="1" applyFont="1" applyFill="1" applyBorder="1" applyAlignment="1">
      <alignment horizontal="center"/>
    </xf>
    <xf numFmtId="7" fontId="2" fillId="3" borderId="7" xfId="0" applyNumberFormat="1" applyFont="1" applyFill="1" applyBorder="1" applyAlignment="1">
      <alignment horizontal="center"/>
    </xf>
    <xf numFmtId="7" fontId="1" fillId="2" borderId="7" xfId="0" applyNumberFormat="1" applyFont="1" applyFill="1" applyBorder="1" applyAlignment="1">
      <alignment horizontal="center"/>
    </xf>
    <xf numFmtId="7" fontId="4" fillId="3" borderId="7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39"/>
  <sheetViews>
    <sheetView workbookViewId="0">
      <selection activeCell="L5" sqref="L5"/>
    </sheetView>
  </sheetViews>
  <sheetFormatPr defaultRowHeight="14.4" x14ac:dyDescent="0.3"/>
  <cols>
    <col min="1" max="1" width="11.44140625" style="15" bestFit="1" customWidth="1"/>
    <col min="2" max="2" width="12" style="16" bestFit="1" customWidth="1"/>
    <col min="3" max="3" width="11.88671875" style="16" bestFit="1" customWidth="1"/>
    <col min="4" max="5" width="11.6640625" style="16" bestFit="1" customWidth="1"/>
    <col min="6" max="6" width="13.109375" style="16" bestFit="1" customWidth="1"/>
    <col min="7" max="7" width="13.88671875" style="6" bestFit="1" customWidth="1"/>
    <col min="8" max="8" width="11.88671875" style="16" bestFit="1" customWidth="1"/>
    <col min="9" max="9" width="13.5546875" bestFit="1" customWidth="1"/>
    <col min="10" max="10" width="11.88671875" bestFit="1" customWidth="1"/>
    <col min="11" max="11" width="13.5546875" bestFit="1" customWidth="1"/>
    <col min="12" max="12" width="9.33203125" bestFit="1" customWidth="1"/>
  </cols>
  <sheetData>
    <row r="1" spans="1:10" ht="18.75" customHeight="1" x14ac:dyDescent="0.3">
      <c r="A1" s="8" t="s">
        <v>11</v>
      </c>
      <c r="B1" s="22" t="s">
        <v>22</v>
      </c>
      <c r="C1" s="9" t="s">
        <v>12</v>
      </c>
      <c r="D1" s="10" t="s">
        <v>14</v>
      </c>
      <c r="E1" s="22" t="s">
        <v>20</v>
      </c>
      <c r="F1" s="9" t="s">
        <v>15</v>
      </c>
      <c r="G1" s="10" t="s">
        <v>17</v>
      </c>
      <c r="H1" s="9" t="s">
        <v>18</v>
      </c>
    </row>
    <row r="2" spans="1:10" ht="18.75" customHeight="1" x14ac:dyDescent="0.3">
      <c r="A2" s="11">
        <v>45292</v>
      </c>
      <c r="B2" s="23">
        <v>2843.53</v>
      </c>
      <c r="C2" s="4">
        <v>1980</v>
      </c>
      <c r="D2" s="25">
        <f t="shared" ref="D2:D19" si="0">C2+B2</f>
        <v>4823.5300000000007</v>
      </c>
      <c r="E2" s="23">
        <v>2100</v>
      </c>
      <c r="F2" s="4">
        <v>1179.95</v>
      </c>
      <c r="G2" s="25">
        <f t="shared" ref="G2:G19" si="1">F2+E2</f>
        <v>3279.95</v>
      </c>
      <c r="H2" s="4">
        <f t="shared" ref="H2:H19" si="2">D2-G2</f>
        <v>1543.5800000000008</v>
      </c>
    </row>
    <row r="3" spans="1:10" ht="18.75" customHeight="1" x14ac:dyDescent="0.3">
      <c r="A3" s="11">
        <v>45323</v>
      </c>
      <c r="B3" s="23">
        <v>0</v>
      </c>
      <c r="C3" s="4">
        <v>1980</v>
      </c>
      <c r="D3" s="25">
        <f t="shared" si="0"/>
        <v>1980</v>
      </c>
      <c r="E3" s="23">
        <v>1400</v>
      </c>
      <c r="F3" s="4">
        <v>0</v>
      </c>
      <c r="G3" s="25">
        <f t="shared" si="1"/>
        <v>1400</v>
      </c>
      <c r="H3" s="4">
        <f t="shared" si="2"/>
        <v>580</v>
      </c>
      <c r="J3" s="13"/>
    </row>
    <row r="4" spans="1:10" ht="18.75" customHeight="1" x14ac:dyDescent="0.3">
      <c r="A4" s="11">
        <v>45352</v>
      </c>
      <c r="B4" s="23">
        <v>0</v>
      </c>
      <c r="C4" s="4">
        <v>1980</v>
      </c>
      <c r="D4" s="25">
        <f t="shared" si="0"/>
        <v>1980</v>
      </c>
      <c r="E4" s="23">
        <v>2250</v>
      </c>
      <c r="F4" s="4">
        <v>612.5</v>
      </c>
      <c r="G4" s="25">
        <f t="shared" si="1"/>
        <v>2862.5</v>
      </c>
      <c r="H4" s="4">
        <f t="shared" si="2"/>
        <v>-882.5</v>
      </c>
      <c r="J4" s="13"/>
    </row>
    <row r="5" spans="1:10" ht="18.75" customHeight="1" x14ac:dyDescent="0.3">
      <c r="A5" s="11">
        <v>45383</v>
      </c>
      <c r="B5" s="23">
        <v>0</v>
      </c>
      <c r="C5" s="4">
        <v>1980</v>
      </c>
      <c r="D5" s="25">
        <f t="shared" si="0"/>
        <v>1980</v>
      </c>
      <c r="E5" s="23">
        <v>1450</v>
      </c>
      <c r="F5" s="4">
        <v>0</v>
      </c>
      <c r="G5" s="25">
        <f t="shared" si="1"/>
        <v>1450</v>
      </c>
      <c r="H5" s="4">
        <f t="shared" si="2"/>
        <v>530</v>
      </c>
      <c r="J5" s="13"/>
    </row>
    <row r="6" spans="1:10" ht="18.75" customHeight="1" x14ac:dyDescent="0.3">
      <c r="A6" s="11">
        <v>45413</v>
      </c>
      <c r="B6" s="23">
        <v>2390</v>
      </c>
      <c r="C6" s="4">
        <v>1980</v>
      </c>
      <c r="D6" s="25">
        <f t="shared" si="0"/>
        <v>4370</v>
      </c>
      <c r="E6" s="23">
        <v>1000</v>
      </c>
      <c r="F6" s="4">
        <v>4918.3999999999996</v>
      </c>
      <c r="G6" s="25">
        <f t="shared" si="1"/>
        <v>5918.4</v>
      </c>
      <c r="H6" s="4">
        <f t="shared" si="2"/>
        <v>-1548.3999999999996</v>
      </c>
      <c r="J6" s="13"/>
    </row>
    <row r="7" spans="1:10" ht="18.75" customHeight="1" x14ac:dyDescent="0.3">
      <c r="A7" s="11">
        <v>45444</v>
      </c>
      <c r="B7" s="23">
        <v>0</v>
      </c>
      <c r="C7" s="4">
        <v>1980</v>
      </c>
      <c r="D7" s="25">
        <f t="shared" si="0"/>
        <v>1980</v>
      </c>
      <c r="E7" s="23">
        <v>2000</v>
      </c>
      <c r="F7" s="14">
        <v>0</v>
      </c>
      <c r="G7" s="25">
        <f t="shared" si="1"/>
        <v>2000</v>
      </c>
      <c r="H7" s="4">
        <f t="shared" si="2"/>
        <v>-20</v>
      </c>
      <c r="J7" s="13"/>
    </row>
    <row r="8" spans="1:10" ht="18.75" customHeight="1" x14ac:dyDescent="0.3">
      <c r="A8" s="11">
        <v>45474</v>
      </c>
      <c r="B8" s="23">
        <v>0</v>
      </c>
      <c r="C8" s="4">
        <v>1980</v>
      </c>
      <c r="D8" s="25">
        <f t="shared" si="0"/>
        <v>1980</v>
      </c>
      <c r="E8" s="23">
        <v>0</v>
      </c>
      <c r="F8" s="14">
        <v>2000</v>
      </c>
      <c r="G8" s="25">
        <f t="shared" si="1"/>
        <v>2000</v>
      </c>
      <c r="H8" s="4">
        <f t="shared" si="2"/>
        <v>-20</v>
      </c>
      <c r="J8" s="13"/>
    </row>
    <row r="9" spans="1:10" ht="18.75" customHeight="1" x14ac:dyDescent="0.3">
      <c r="A9" s="11">
        <v>45505</v>
      </c>
      <c r="B9" s="23">
        <v>0</v>
      </c>
      <c r="C9" s="4">
        <v>1203.21</v>
      </c>
      <c r="D9" s="25">
        <f t="shared" si="0"/>
        <v>1203.21</v>
      </c>
      <c r="E9" s="23">
        <v>0</v>
      </c>
      <c r="F9" s="14">
        <v>1693.75</v>
      </c>
      <c r="G9" s="25">
        <f t="shared" si="1"/>
        <v>1693.75</v>
      </c>
      <c r="H9" s="4">
        <f t="shared" si="2"/>
        <v>-490.53999999999996</v>
      </c>
      <c r="J9" s="13"/>
    </row>
    <row r="10" spans="1:10" ht="18.75" customHeight="1" x14ac:dyDescent="0.3">
      <c r="A10" s="11">
        <v>45536</v>
      </c>
      <c r="B10" s="23">
        <v>0</v>
      </c>
      <c r="C10" s="4">
        <v>1200</v>
      </c>
      <c r="D10" s="25">
        <f t="shared" si="0"/>
        <v>1200</v>
      </c>
      <c r="E10" s="23">
        <v>650</v>
      </c>
      <c r="F10" s="14">
        <v>140.66999999999999</v>
      </c>
      <c r="G10" s="25">
        <f t="shared" si="1"/>
        <v>790.67</v>
      </c>
      <c r="H10" s="4">
        <f t="shared" si="2"/>
        <v>409.33000000000004</v>
      </c>
      <c r="J10" s="13"/>
    </row>
    <row r="11" spans="1:10" ht="18.75" customHeight="1" x14ac:dyDescent="0.3">
      <c r="A11" s="11">
        <v>45566</v>
      </c>
      <c r="B11" s="23">
        <v>6000</v>
      </c>
      <c r="C11" s="4">
        <v>1200</v>
      </c>
      <c r="D11" s="25">
        <f t="shared" si="0"/>
        <v>7200</v>
      </c>
      <c r="E11" s="23">
        <v>1800</v>
      </c>
      <c r="F11" s="4">
        <v>4784.54</v>
      </c>
      <c r="G11" s="25">
        <f t="shared" si="1"/>
        <v>6584.54</v>
      </c>
      <c r="H11" s="4">
        <f t="shared" si="2"/>
        <v>615.46</v>
      </c>
      <c r="J11" s="13"/>
    </row>
    <row r="12" spans="1:10" ht="18.75" customHeight="1" x14ac:dyDescent="0.3">
      <c r="A12" s="11">
        <v>45597</v>
      </c>
      <c r="B12" s="23">
        <v>6000</v>
      </c>
      <c r="C12" s="4">
        <v>1200</v>
      </c>
      <c r="D12" s="25">
        <f t="shared" si="0"/>
        <v>7200</v>
      </c>
      <c r="E12" s="23">
        <v>2728.47</v>
      </c>
      <c r="F12" s="4">
        <v>3182.72</v>
      </c>
      <c r="G12" s="25">
        <f t="shared" si="1"/>
        <v>5911.19</v>
      </c>
      <c r="H12" s="4">
        <f t="shared" si="2"/>
        <v>1288.8100000000004</v>
      </c>
      <c r="J12" s="13"/>
    </row>
    <row r="13" spans="1:10" ht="18.75" customHeight="1" x14ac:dyDescent="0.3">
      <c r="A13" s="11">
        <v>45627</v>
      </c>
      <c r="B13" s="23">
        <v>6000</v>
      </c>
      <c r="C13" s="4">
        <v>1200</v>
      </c>
      <c r="D13" s="25">
        <f t="shared" si="0"/>
        <v>7200</v>
      </c>
      <c r="E13" s="23">
        <v>4506.34</v>
      </c>
      <c r="F13" s="4">
        <v>889.28</v>
      </c>
      <c r="G13" s="25">
        <f t="shared" si="1"/>
        <v>5395.62</v>
      </c>
      <c r="H13" s="4">
        <f t="shared" si="2"/>
        <v>1804.38</v>
      </c>
      <c r="J13" s="13"/>
    </row>
    <row r="14" spans="1:10" ht="18.75" customHeight="1" x14ac:dyDescent="0.3">
      <c r="A14" s="11">
        <v>45658</v>
      </c>
      <c r="B14" s="23">
        <v>6000</v>
      </c>
      <c r="C14" s="4">
        <v>1200</v>
      </c>
      <c r="D14" s="25">
        <f t="shared" si="0"/>
        <v>7200</v>
      </c>
      <c r="E14" s="24">
        <v>5629.77</v>
      </c>
      <c r="F14" s="4">
        <v>3719.86</v>
      </c>
      <c r="G14" s="25">
        <f t="shared" si="1"/>
        <v>9349.630000000001</v>
      </c>
      <c r="H14" s="13">
        <f t="shared" si="2"/>
        <v>-2149.630000000001</v>
      </c>
      <c r="J14" s="13"/>
    </row>
    <row r="15" spans="1:10" ht="18.75" customHeight="1" x14ac:dyDescent="0.3">
      <c r="A15" s="11">
        <v>45689</v>
      </c>
      <c r="B15" s="23">
        <v>6000</v>
      </c>
      <c r="C15" s="4">
        <v>1200</v>
      </c>
      <c r="D15" s="25">
        <f t="shared" si="0"/>
        <v>7200</v>
      </c>
      <c r="E15" s="24">
        <v>3950</v>
      </c>
      <c r="F15" s="4">
        <v>2000</v>
      </c>
      <c r="G15" s="25">
        <f t="shared" si="1"/>
        <v>5950</v>
      </c>
      <c r="H15" s="13">
        <f t="shared" si="2"/>
        <v>1250</v>
      </c>
      <c r="J15" s="13"/>
    </row>
    <row r="16" spans="1:10" ht="18.75" customHeight="1" x14ac:dyDescent="0.3">
      <c r="A16" s="11">
        <v>45717</v>
      </c>
      <c r="B16" s="23">
        <v>6000</v>
      </c>
      <c r="C16" s="4">
        <v>1200</v>
      </c>
      <c r="D16" s="25">
        <f t="shared" si="0"/>
        <v>7200</v>
      </c>
      <c r="E16" s="24">
        <v>4241.6000000000004</v>
      </c>
      <c r="F16" s="4">
        <v>1777.6999999999998</v>
      </c>
      <c r="G16" s="25">
        <f t="shared" si="1"/>
        <v>6019.3</v>
      </c>
      <c r="H16" s="13">
        <f t="shared" si="2"/>
        <v>1180.6999999999998</v>
      </c>
      <c r="J16" s="13"/>
    </row>
    <row r="17" spans="1:12" ht="18.75" customHeight="1" x14ac:dyDescent="0.3">
      <c r="A17" s="11">
        <v>45748</v>
      </c>
      <c r="B17" s="23">
        <v>6000</v>
      </c>
      <c r="C17" s="4">
        <v>1200</v>
      </c>
      <c r="D17" s="25">
        <f t="shared" si="0"/>
        <v>7200</v>
      </c>
      <c r="E17" s="24">
        <v>8000</v>
      </c>
      <c r="F17" s="4">
        <v>1878</v>
      </c>
      <c r="G17" s="25">
        <f t="shared" si="1"/>
        <v>9878</v>
      </c>
      <c r="H17" s="13">
        <f t="shared" si="2"/>
        <v>-2678</v>
      </c>
      <c r="J17" s="13"/>
    </row>
    <row r="18" spans="1:12" ht="18.75" customHeight="1" x14ac:dyDescent="0.3">
      <c r="A18" s="11">
        <v>45778</v>
      </c>
      <c r="B18" s="23">
        <v>6000</v>
      </c>
      <c r="C18" s="4">
        <v>1200</v>
      </c>
      <c r="D18" s="25">
        <f t="shared" si="0"/>
        <v>7200</v>
      </c>
      <c r="E18" s="24">
        <v>4900</v>
      </c>
      <c r="F18" s="4">
        <v>543.69999999999982</v>
      </c>
      <c r="G18" s="25">
        <f t="shared" si="1"/>
        <v>5443.7</v>
      </c>
      <c r="H18" s="13">
        <f t="shared" si="2"/>
        <v>1756.3000000000002</v>
      </c>
      <c r="J18" s="13"/>
    </row>
    <row r="19" spans="1:12" ht="18.75" customHeight="1" x14ac:dyDescent="0.3">
      <c r="A19" s="11">
        <v>45809</v>
      </c>
      <c r="B19" s="23">
        <v>6000</v>
      </c>
      <c r="C19" s="4">
        <v>1200</v>
      </c>
      <c r="D19" s="25">
        <f t="shared" si="0"/>
        <v>7200</v>
      </c>
      <c r="E19" s="24">
        <v>7100</v>
      </c>
      <c r="F19" s="4">
        <v>247.80000000000018</v>
      </c>
      <c r="G19" s="25">
        <f t="shared" si="1"/>
        <v>7347.8</v>
      </c>
      <c r="H19" s="13">
        <f t="shared" si="2"/>
        <v>-147.80000000000018</v>
      </c>
      <c r="J19" s="13"/>
    </row>
    <row r="20" spans="1:12" ht="18.75" customHeight="1" x14ac:dyDescent="0.3">
      <c r="B20" s="26"/>
      <c r="C20" s="4"/>
    </row>
    <row r="21" spans="1:12" ht="18.75" customHeight="1" x14ac:dyDescent="0.3"/>
    <row r="22" spans="1:12" ht="18.75" customHeight="1" x14ac:dyDescent="0.3"/>
    <row r="23" spans="1:12" ht="18.75" customHeight="1" x14ac:dyDescent="0.3">
      <c r="D23" s="20"/>
      <c r="E23" s="20"/>
      <c r="G23" s="17"/>
      <c r="H23" s="18"/>
      <c r="I23" s="19"/>
    </row>
    <row r="24" spans="1:12" ht="18.75" customHeight="1" x14ac:dyDescent="0.3">
      <c r="D24" s="20"/>
      <c r="G24" s="17"/>
      <c r="H24" s="18"/>
      <c r="I24" s="19"/>
    </row>
    <row r="25" spans="1:12" ht="18.75" customHeight="1" x14ac:dyDescent="0.3">
      <c r="D25" s="20"/>
      <c r="G25" s="17"/>
      <c r="H25" s="21"/>
      <c r="I25" s="19"/>
    </row>
    <row r="26" spans="1:12" ht="18.75" customHeight="1" x14ac:dyDescent="0.3">
      <c r="D26" s="20"/>
      <c r="G26" s="17"/>
      <c r="H26" s="21"/>
      <c r="I26" s="19"/>
    </row>
    <row r="27" spans="1:12" ht="18.75" customHeight="1" x14ac:dyDescent="0.3">
      <c r="D27" s="20"/>
      <c r="G27" s="17"/>
      <c r="H27" s="21"/>
      <c r="I27" s="19"/>
      <c r="L27" s="13"/>
    </row>
    <row r="28" spans="1:12" ht="18.75" customHeight="1" x14ac:dyDescent="0.3">
      <c r="D28" s="20"/>
      <c r="E28" s="20"/>
      <c r="F28" s="20"/>
      <c r="G28" s="17"/>
      <c r="H28" s="21"/>
      <c r="I28" s="19"/>
    </row>
    <row r="29" spans="1:12" ht="18.75" customHeight="1" x14ac:dyDescent="0.3">
      <c r="D29" s="20"/>
      <c r="G29" s="17"/>
      <c r="H29" s="18"/>
      <c r="I29" s="19"/>
    </row>
    <row r="30" spans="1:12" ht="18.75" customHeight="1" x14ac:dyDescent="0.3">
      <c r="D30" s="20"/>
      <c r="G30" s="17"/>
      <c r="H30" s="21"/>
      <c r="I30" s="19"/>
    </row>
    <row r="31" spans="1:12" ht="18.75" customHeight="1" x14ac:dyDescent="0.3">
      <c r="D31" s="20"/>
      <c r="G31" s="20"/>
    </row>
    <row r="32" spans="1:12" ht="18.75" customHeight="1" x14ac:dyDescent="0.3">
      <c r="D32" s="20"/>
      <c r="G32" s="20"/>
    </row>
    <row r="33" spans="4:7" ht="18.75" customHeight="1" x14ac:dyDescent="0.3">
      <c r="D33" s="20"/>
      <c r="G33" s="20"/>
    </row>
    <row r="34" spans="4:7" ht="18.75" customHeight="1" x14ac:dyDescent="0.3">
      <c r="D34" s="20"/>
      <c r="G34" s="20"/>
    </row>
    <row r="35" spans="4:7" ht="18.75" customHeight="1" x14ac:dyDescent="0.3">
      <c r="D35" s="20"/>
      <c r="G35" s="20"/>
    </row>
    <row r="36" spans="4:7" ht="18.75" customHeight="1" x14ac:dyDescent="0.3">
      <c r="G36" s="20"/>
    </row>
    <row r="37" spans="4:7" ht="18.75" customHeight="1" x14ac:dyDescent="0.3">
      <c r="G37" s="20"/>
    </row>
    <row r="38" spans="4:7" ht="18.75" customHeight="1" x14ac:dyDescent="0.3">
      <c r="G38" s="20"/>
    </row>
    <row r="39" spans="4:7" ht="18.75" customHeight="1" x14ac:dyDescent="0.3">
      <c r="G39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B1:J58"/>
  <sheetViews>
    <sheetView tabSelected="1" workbookViewId="0"/>
  </sheetViews>
  <sheetFormatPr defaultRowHeight="14.4" x14ac:dyDescent="0.3"/>
  <cols>
    <col min="2" max="2" width="11.44140625" style="15" bestFit="1" customWidth="1"/>
    <col min="3" max="3" width="13.109375" style="16" bestFit="1" customWidth="1"/>
    <col min="4" max="4" width="13.33203125" style="16" bestFit="1" customWidth="1"/>
    <col min="5" max="5" width="11.5546875" style="16" bestFit="1" customWidth="1"/>
    <col min="6" max="6" width="12.88671875" bestFit="1" customWidth="1"/>
    <col min="7" max="8" width="13.109375" bestFit="1" customWidth="1"/>
    <col min="9" max="10" width="11.5546875" bestFit="1" customWidth="1"/>
  </cols>
  <sheetData>
    <row r="1" spans="2:8" ht="18.75" customHeight="1" x14ac:dyDescent="0.3">
      <c r="B1" s="8" t="s">
        <v>11</v>
      </c>
      <c r="C1" s="22" t="s">
        <v>19</v>
      </c>
      <c r="D1" s="9" t="s">
        <v>20</v>
      </c>
      <c r="E1" s="9" t="s">
        <v>21</v>
      </c>
    </row>
    <row r="2" spans="2:8" ht="18.75" customHeight="1" x14ac:dyDescent="0.3">
      <c r="B2" s="11">
        <v>45261</v>
      </c>
      <c r="C2" s="13">
        <v>22091.48</v>
      </c>
      <c r="D2" s="13">
        <v>24187.61</v>
      </c>
      <c r="E2" s="13">
        <f t="shared" ref="E2:E21" si="0">D2-C2</f>
        <v>2096.130000000001</v>
      </c>
      <c r="G2" s="13"/>
    </row>
    <row r="3" spans="2:8" ht="18.75" customHeight="1" x14ac:dyDescent="0.3">
      <c r="B3" s="11">
        <v>45292</v>
      </c>
      <c r="C3" s="13">
        <v>24191.48</v>
      </c>
      <c r="D3" s="13">
        <v>26654.46</v>
      </c>
      <c r="E3" s="13">
        <f t="shared" si="0"/>
        <v>2462.9799999999996</v>
      </c>
    </row>
    <row r="4" spans="2:8" ht="18.75" customHeight="1" x14ac:dyDescent="0.3">
      <c r="B4" s="11">
        <v>45323</v>
      </c>
      <c r="C4" s="13">
        <v>25591.48</v>
      </c>
      <c r="D4" s="13">
        <v>27924.559999999998</v>
      </c>
      <c r="E4" s="13">
        <f t="shared" si="0"/>
        <v>2333.0799999999981</v>
      </c>
    </row>
    <row r="5" spans="2:8" ht="18.75" customHeight="1" x14ac:dyDescent="0.3">
      <c r="B5" s="11">
        <v>45352</v>
      </c>
      <c r="C5" s="13">
        <v>27841.48</v>
      </c>
      <c r="D5" s="13">
        <v>31306.720000000001</v>
      </c>
      <c r="E5" s="13">
        <f t="shared" si="0"/>
        <v>3465.2400000000016</v>
      </c>
      <c r="F5" s="23"/>
      <c r="G5" s="13"/>
    </row>
    <row r="6" spans="2:8" ht="18.75" customHeight="1" x14ac:dyDescent="0.3">
      <c r="B6" s="11">
        <v>45383</v>
      </c>
      <c r="C6" s="13">
        <v>29291.48</v>
      </c>
      <c r="D6" s="13">
        <v>32648.13</v>
      </c>
      <c r="E6" s="13">
        <f t="shared" si="0"/>
        <v>3356.6500000000015</v>
      </c>
      <c r="F6" s="23"/>
      <c r="G6" s="13"/>
    </row>
    <row r="7" spans="2:8" ht="18.75" customHeight="1" x14ac:dyDescent="0.3">
      <c r="B7" s="11">
        <v>45413</v>
      </c>
      <c r="C7" s="13">
        <v>30291.48</v>
      </c>
      <c r="D7" s="13">
        <v>33558.33</v>
      </c>
      <c r="E7" s="13">
        <f t="shared" si="0"/>
        <v>3266.8500000000022</v>
      </c>
      <c r="F7" s="23"/>
      <c r="G7" s="13"/>
      <c r="H7" s="13"/>
    </row>
    <row r="8" spans="2:8" ht="18.75" customHeight="1" x14ac:dyDescent="0.3">
      <c r="B8" s="11">
        <v>45444</v>
      </c>
      <c r="C8" s="13">
        <v>32291.48</v>
      </c>
      <c r="D8" s="13">
        <v>35754.21</v>
      </c>
      <c r="E8" s="13">
        <f t="shared" si="0"/>
        <v>3462.7299999999996</v>
      </c>
      <c r="F8" s="23"/>
      <c r="G8" s="13"/>
      <c r="H8" s="13"/>
    </row>
    <row r="9" spans="2:8" ht="18.75" customHeight="1" x14ac:dyDescent="0.3">
      <c r="B9" s="11">
        <v>45474</v>
      </c>
      <c r="C9" s="13">
        <v>32291.48</v>
      </c>
      <c r="D9" s="13">
        <v>36436.239999999998</v>
      </c>
      <c r="E9" s="13">
        <f t="shared" si="0"/>
        <v>4144.7599999999984</v>
      </c>
      <c r="F9" s="23"/>
      <c r="G9" s="13"/>
      <c r="H9" s="13"/>
    </row>
    <row r="10" spans="2:8" ht="18.75" customHeight="1" x14ac:dyDescent="0.3">
      <c r="B10" s="11">
        <v>45505</v>
      </c>
      <c r="C10" s="13">
        <v>32291.48</v>
      </c>
      <c r="D10" s="13">
        <v>36069.870000000003</v>
      </c>
      <c r="E10" s="13">
        <f t="shared" si="0"/>
        <v>3778.3900000000031</v>
      </c>
      <c r="F10" s="23"/>
      <c r="G10" s="13"/>
      <c r="H10" s="13"/>
    </row>
    <row r="11" spans="2:8" ht="18.75" customHeight="1" x14ac:dyDescent="0.3">
      <c r="B11" s="11">
        <v>45536</v>
      </c>
      <c r="C11" s="13">
        <v>32941.479999999996</v>
      </c>
      <c r="D11" s="13">
        <v>36512.019999999997</v>
      </c>
      <c r="E11" s="13">
        <f t="shared" si="0"/>
        <v>3570.5400000000009</v>
      </c>
      <c r="F11" s="23"/>
      <c r="G11" s="13"/>
      <c r="H11" s="13"/>
    </row>
    <row r="12" spans="2:8" ht="18.75" customHeight="1" x14ac:dyDescent="0.3">
      <c r="B12" s="11">
        <v>45566</v>
      </c>
      <c r="C12" s="13">
        <v>34741.479999999996</v>
      </c>
      <c r="D12" s="13">
        <v>38484.979999999996</v>
      </c>
      <c r="E12" s="13">
        <f t="shared" si="0"/>
        <v>3743.5</v>
      </c>
      <c r="F12" s="23"/>
      <c r="G12" s="13"/>
      <c r="H12" s="13"/>
    </row>
    <row r="13" spans="2:8" ht="18.75" customHeight="1" x14ac:dyDescent="0.3">
      <c r="B13" s="11">
        <v>45597</v>
      </c>
      <c r="C13" s="13">
        <v>37469.949999999997</v>
      </c>
      <c r="D13" s="13">
        <v>41236.68</v>
      </c>
      <c r="E13" s="13">
        <f t="shared" si="0"/>
        <v>3766.7300000000032</v>
      </c>
      <c r="F13" s="23"/>
      <c r="G13" s="13"/>
    </row>
    <row r="14" spans="2:8" ht="18.75" customHeight="1" x14ac:dyDescent="0.3">
      <c r="B14" s="11">
        <v>45627</v>
      </c>
      <c r="C14" s="13">
        <v>41976.29</v>
      </c>
      <c r="D14" s="13">
        <v>45027.87</v>
      </c>
      <c r="E14" s="13">
        <f t="shared" si="0"/>
        <v>3051.5800000000017</v>
      </c>
      <c r="F14" s="23"/>
      <c r="G14" s="13"/>
    </row>
    <row r="15" spans="2:8" ht="18.75" customHeight="1" x14ac:dyDescent="0.3">
      <c r="B15" s="11">
        <v>45658</v>
      </c>
      <c r="C15" s="13">
        <v>47606.06</v>
      </c>
      <c r="D15" s="13">
        <v>50694.25</v>
      </c>
      <c r="E15" s="13">
        <f t="shared" si="0"/>
        <v>3088.1900000000023</v>
      </c>
      <c r="F15" s="23"/>
      <c r="G15" s="13"/>
    </row>
    <row r="16" spans="2:8" ht="18.75" customHeight="1" x14ac:dyDescent="0.3">
      <c r="B16" s="11">
        <v>45689</v>
      </c>
      <c r="C16" s="13">
        <v>51556.06</v>
      </c>
      <c r="D16" s="13">
        <v>54116.95</v>
      </c>
      <c r="E16" s="13">
        <f t="shared" si="0"/>
        <v>2560.8899999999994</v>
      </c>
      <c r="F16" s="23"/>
      <c r="G16" s="13"/>
      <c r="H16" s="13"/>
    </row>
    <row r="17" spans="2:8" ht="18.75" customHeight="1" x14ac:dyDescent="0.3">
      <c r="B17" s="11">
        <v>45717</v>
      </c>
      <c r="C17" s="13">
        <v>55797.66</v>
      </c>
      <c r="D17" s="13">
        <v>59175.87</v>
      </c>
      <c r="E17" s="13">
        <f t="shared" si="0"/>
        <v>3378.2099999999991</v>
      </c>
      <c r="F17" s="24"/>
      <c r="G17" s="13"/>
    </row>
    <row r="18" spans="2:8" ht="18.75" customHeight="1" x14ac:dyDescent="0.3">
      <c r="B18" s="11">
        <v>45748</v>
      </c>
      <c r="C18" s="13">
        <v>63797.66</v>
      </c>
      <c r="D18" s="13">
        <v>67800.639999999999</v>
      </c>
      <c r="E18" s="13">
        <f t="shared" si="0"/>
        <v>4002.9799999999959</v>
      </c>
      <c r="F18" s="24"/>
      <c r="G18" s="13"/>
    </row>
    <row r="19" spans="2:8" ht="18.75" customHeight="1" x14ac:dyDescent="0.3">
      <c r="B19" s="11">
        <v>45778</v>
      </c>
      <c r="C19" s="13">
        <v>68697.66</v>
      </c>
      <c r="D19" s="13">
        <v>75752.88</v>
      </c>
      <c r="E19" s="13">
        <f t="shared" si="0"/>
        <v>7055.2200000000012</v>
      </c>
      <c r="F19" s="24"/>
      <c r="G19" s="13"/>
    </row>
    <row r="20" spans="2:8" ht="18.75" customHeight="1" x14ac:dyDescent="0.3">
      <c r="B20" s="11">
        <v>45809</v>
      </c>
      <c r="C20" s="13">
        <v>75797.66</v>
      </c>
      <c r="D20" s="13">
        <v>82763.11</v>
      </c>
      <c r="E20" s="13">
        <f t="shared" si="0"/>
        <v>6965.4499999999971</v>
      </c>
      <c r="F20" s="24"/>
      <c r="G20" s="13"/>
    </row>
    <row r="21" spans="2:8" ht="18.75" customHeight="1" x14ac:dyDescent="0.3">
      <c r="B21" s="11">
        <v>45839</v>
      </c>
      <c r="C21" s="13">
        <v>77797.66</v>
      </c>
      <c r="D21" s="13">
        <v>86677.53</v>
      </c>
      <c r="E21" s="13">
        <f t="shared" si="0"/>
        <v>8879.8699999999953</v>
      </c>
      <c r="F21" s="24"/>
      <c r="G21" s="13"/>
    </row>
    <row r="22" spans="2:8" ht="18.75" customHeight="1" x14ac:dyDescent="0.3">
      <c r="E22" s="13"/>
      <c r="F22" s="24"/>
      <c r="G22" s="13"/>
    </row>
    <row r="23" spans="2:8" ht="18.75" customHeight="1" x14ac:dyDescent="0.3">
      <c r="E23" s="13"/>
      <c r="F23" s="24"/>
      <c r="G23" s="13"/>
    </row>
    <row r="24" spans="2:8" ht="18.75" customHeight="1" x14ac:dyDescent="0.3">
      <c r="C24" s="20"/>
    </row>
    <row r="25" spans="2:8" ht="18.75" customHeight="1" x14ac:dyDescent="0.3"/>
    <row r="26" spans="2:8" ht="18.75" customHeight="1" x14ac:dyDescent="0.3">
      <c r="D26" s="5"/>
      <c r="F26" s="5"/>
    </row>
    <row r="27" spans="2:8" ht="18.75" customHeight="1" x14ac:dyDescent="0.3">
      <c r="D27" s="5"/>
      <c r="F27" s="5"/>
    </row>
    <row r="28" spans="2:8" ht="18.75" customHeight="1" x14ac:dyDescent="0.3">
      <c r="D28" s="5"/>
      <c r="F28" s="5"/>
      <c r="H28" s="13"/>
    </row>
    <row r="29" spans="2:8" ht="18.75" customHeight="1" x14ac:dyDescent="0.3">
      <c r="C29" s="20"/>
      <c r="D29" s="5"/>
      <c r="F29" s="5"/>
    </row>
    <row r="30" spans="2:8" ht="18.75" customHeight="1" x14ac:dyDescent="0.3">
      <c r="D30" s="5"/>
      <c r="F30" s="5"/>
    </row>
    <row r="31" spans="2:8" ht="18.75" customHeight="1" x14ac:dyDescent="0.3">
      <c r="D31" s="5"/>
      <c r="F31" s="5"/>
    </row>
    <row r="32" spans="2:8" ht="18.75" customHeight="1" x14ac:dyDescent="0.3">
      <c r="D32" s="5"/>
      <c r="F32" s="5"/>
    </row>
    <row r="33" spans="4:10" ht="18.75" customHeight="1" x14ac:dyDescent="0.3">
      <c r="D33" s="5"/>
      <c r="F33" s="5"/>
    </row>
    <row r="34" spans="4:10" ht="18.75" customHeight="1" x14ac:dyDescent="0.3">
      <c r="D34" s="5"/>
      <c r="F34" s="5"/>
    </row>
    <row r="35" spans="4:10" ht="18.75" customHeight="1" x14ac:dyDescent="0.3">
      <c r="D35" s="5"/>
      <c r="F35" s="5"/>
      <c r="G35" s="13"/>
      <c r="H35" s="13"/>
      <c r="I35" s="13"/>
      <c r="J35" s="13"/>
    </row>
    <row r="36" spans="4:10" ht="18.75" customHeight="1" x14ac:dyDescent="0.3">
      <c r="D36" s="5"/>
      <c r="F36" s="5"/>
      <c r="G36" s="13"/>
      <c r="H36" s="13"/>
      <c r="I36" s="13"/>
      <c r="J36" s="13"/>
    </row>
    <row r="37" spans="4:10" ht="18.75" customHeight="1" x14ac:dyDescent="0.3">
      <c r="D37" s="5"/>
      <c r="F37" s="5"/>
      <c r="G37" s="13"/>
      <c r="H37" s="13"/>
      <c r="I37" s="13"/>
      <c r="J37" s="13"/>
    </row>
    <row r="38" spans="4:10" ht="18.75" customHeight="1" x14ac:dyDescent="0.3">
      <c r="D38" s="5"/>
      <c r="F38" s="5"/>
      <c r="G38" s="13"/>
      <c r="H38" s="13"/>
      <c r="I38" s="13"/>
      <c r="J38" s="13"/>
    </row>
    <row r="39" spans="4:10" ht="18.75" customHeight="1" x14ac:dyDescent="0.3">
      <c r="D39" s="5"/>
      <c r="F39" s="5"/>
      <c r="G39" s="13"/>
      <c r="H39" s="13"/>
      <c r="I39" s="13"/>
      <c r="J39" s="13"/>
    </row>
    <row r="40" spans="4:10" ht="18.75" customHeight="1" x14ac:dyDescent="0.3">
      <c r="D40" s="5"/>
      <c r="F40" s="5"/>
      <c r="G40" s="13"/>
      <c r="H40" s="13"/>
      <c r="I40" s="13"/>
      <c r="J40" s="13"/>
    </row>
    <row r="41" spans="4:10" ht="18.75" customHeight="1" x14ac:dyDescent="0.3">
      <c r="D41" s="5"/>
      <c r="F41" s="5"/>
      <c r="G41" s="13"/>
      <c r="H41" s="13"/>
      <c r="I41" s="13"/>
      <c r="J41" s="13"/>
    </row>
    <row r="42" spans="4:10" ht="18.75" customHeight="1" x14ac:dyDescent="0.3">
      <c r="D42" s="5"/>
      <c r="F42" s="5"/>
      <c r="G42" s="13"/>
      <c r="H42" s="13"/>
      <c r="I42" s="13"/>
      <c r="J42" s="13"/>
    </row>
    <row r="43" spans="4:10" ht="18.75" customHeight="1" x14ac:dyDescent="0.3">
      <c r="D43" s="5"/>
      <c r="F43" s="5"/>
      <c r="G43" s="13"/>
      <c r="H43" s="13"/>
      <c r="I43" s="13"/>
      <c r="J43" s="13"/>
    </row>
    <row r="44" spans="4:10" ht="18.75" customHeight="1" x14ac:dyDescent="0.3">
      <c r="D44" s="5"/>
      <c r="F44" s="5"/>
      <c r="G44" s="13"/>
      <c r="H44" s="13"/>
      <c r="I44" s="13"/>
      <c r="J44" s="13"/>
    </row>
    <row r="45" spans="4:10" ht="18.75" customHeight="1" x14ac:dyDescent="0.3">
      <c r="D45" s="5"/>
      <c r="F45" s="5"/>
      <c r="G45" s="13"/>
      <c r="H45" s="13"/>
      <c r="I45" s="13"/>
      <c r="J45" s="13"/>
    </row>
    <row r="46" spans="4:10" ht="18.75" customHeight="1" x14ac:dyDescent="0.3">
      <c r="D46" s="5"/>
      <c r="F46" s="5"/>
      <c r="G46" s="13"/>
      <c r="H46" s="13"/>
      <c r="I46" s="13"/>
      <c r="J46" s="13"/>
    </row>
    <row r="47" spans="4:10" ht="18.75" customHeight="1" x14ac:dyDescent="0.3">
      <c r="D47" s="5"/>
      <c r="F47" s="5"/>
      <c r="G47" s="13"/>
      <c r="H47" s="13"/>
      <c r="I47" s="13"/>
      <c r="J47" s="13"/>
    </row>
    <row r="48" spans="4:10" ht="18.75" customHeight="1" x14ac:dyDescent="0.3">
      <c r="D48" s="5"/>
      <c r="F48" s="5"/>
      <c r="G48" s="13"/>
      <c r="H48" s="13"/>
      <c r="I48" s="13"/>
      <c r="J48" s="13"/>
    </row>
    <row r="49" spans="3:10" ht="18.75" customHeight="1" x14ac:dyDescent="0.3">
      <c r="D49" s="5"/>
      <c r="F49" s="5"/>
      <c r="G49" s="13"/>
      <c r="H49" s="13"/>
      <c r="I49" s="13"/>
      <c r="J49" s="13"/>
    </row>
    <row r="50" spans="3:10" ht="18.75" customHeight="1" x14ac:dyDescent="0.3">
      <c r="D50" s="5"/>
      <c r="F50" s="5"/>
      <c r="G50" s="13"/>
      <c r="H50" s="13"/>
      <c r="I50" s="13"/>
      <c r="J50" s="13"/>
    </row>
    <row r="51" spans="3:10" ht="18.75" customHeight="1" x14ac:dyDescent="0.3">
      <c r="C51" s="13"/>
      <c r="D51" s="13"/>
    </row>
    <row r="52" spans="3:10" ht="18.75" customHeight="1" x14ac:dyDescent="0.3">
      <c r="C52" s="13"/>
      <c r="D52" s="13"/>
    </row>
    <row r="53" spans="3:10" ht="18.75" customHeight="1" x14ac:dyDescent="0.3">
      <c r="C53" s="13"/>
      <c r="D53" s="13"/>
    </row>
    <row r="54" spans="3:10" ht="18.75" customHeight="1" x14ac:dyDescent="0.3">
      <c r="C54" s="13"/>
      <c r="D54" s="13"/>
    </row>
    <row r="55" spans="3:10" ht="18.75" customHeight="1" x14ac:dyDescent="0.3"/>
    <row r="56" spans="3:10" ht="18.75" customHeight="1" x14ac:dyDescent="0.3"/>
    <row r="57" spans="3:10" ht="18.75" customHeight="1" x14ac:dyDescent="0.3"/>
    <row r="58" spans="3:10" ht="18.75" customHeight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L25"/>
  <sheetViews>
    <sheetView workbookViewId="0">
      <selection activeCell="F7" sqref="F7"/>
    </sheetView>
  </sheetViews>
  <sheetFormatPr defaultRowHeight="14.4" x14ac:dyDescent="0.3"/>
  <cols>
    <col min="1" max="1" width="11.44140625" style="15" bestFit="1" customWidth="1"/>
    <col min="2" max="3" width="11.44140625" style="16" bestFit="1" customWidth="1"/>
    <col min="4" max="4" width="11.6640625" style="16" bestFit="1" customWidth="1"/>
    <col min="5" max="5" width="13.109375" style="16" bestFit="1" customWidth="1"/>
    <col min="6" max="6" width="13.88671875" style="16" bestFit="1" customWidth="1"/>
    <col min="7" max="7" width="13.88671875" style="6" bestFit="1" customWidth="1"/>
    <col min="8" max="8" width="10.6640625" style="16" bestFit="1" customWidth="1"/>
    <col min="9" max="11" width="13.5546875" bestFit="1" customWidth="1"/>
    <col min="12" max="12" width="9.33203125" bestFit="1" customWidth="1"/>
  </cols>
  <sheetData>
    <row r="1" spans="1:8" ht="18.75" customHeight="1" x14ac:dyDescent="0.3">
      <c r="A1" s="8" t="s">
        <v>11</v>
      </c>
      <c r="B1" s="9" t="s">
        <v>12</v>
      </c>
      <c r="C1" s="9" t="s">
        <v>13</v>
      </c>
      <c r="D1" s="10" t="s">
        <v>14</v>
      </c>
      <c r="E1" s="9" t="s">
        <v>15</v>
      </c>
      <c r="F1" s="9" t="s">
        <v>16</v>
      </c>
      <c r="G1" s="10" t="s">
        <v>17</v>
      </c>
      <c r="H1" s="9" t="s">
        <v>18</v>
      </c>
    </row>
    <row r="2" spans="1:8" ht="18.75" customHeight="1" x14ac:dyDescent="0.3">
      <c r="A2" s="11">
        <v>45444</v>
      </c>
      <c r="B2" s="4">
        <v>0</v>
      </c>
      <c r="C2" s="4">
        <v>2371.3000000000002</v>
      </c>
      <c r="D2" s="12">
        <f t="shared" ref="D2:D14" si="0">C2+B2</f>
        <v>2371.3000000000002</v>
      </c>
      <c r="E2" s="4">
        <v>0</v>
      </c>
      <c r="F2" s="4">
        <v>2477.27</v>
      </c>
      <c r="G2" s="12">
        <f t="shared" ref="G2:G14" si="1">F2+E2</f>
        <v>2477.27</v>
      </c>
      <c r="H2" s="13">
        <f t="shared" ref="H2:H14" si="2">D2-G2</f>
        <v>-105.9699999999998</v>
      </c>
    </row>
    <row r="3" spans="1:8" ht="18.75" customHeight="1" x14ac:dyDescent="0.3">
      <c r="A3" s="11">
        <v>45474</v>
      </c>
      <c r="B3" s="14">
        <v>0</v>
      </c>
      <c r="C3" s="14">
        <v>1198.51</v>
      </c>
      <c r="D3" s="12">
        <f t="shared" si="0"/>
        <v>1198.51</v>
      </c>
      <c r="E3" s="4">
        <v>908.63</v>
      </c>
      <c r="F3" s="4">
        <v>0</v>
      </c>
      <c r="G3" s="12">
        <f t="shared" si="1"/>
        <v>908.63</v>
      </c>
      <c r="H3" s="13">
        <f t="shared" si="2"/>
        <v>289.88</v>
      </c>
    </row>
    <row r="4" spans="1:8" ht="18.75" customHeight="1" x14ac:dyDescent="0.3">
      <c r="A4" s="11">
        <v>45505</v>
      </c>
      <c r="B4" s="14">
        <v>0</v>
      </c>
      <c r="C4" s="14">
        <v>349.6</v>
      </c>
      <c r="D4" s="12">
        <f t="shared" si="0"/>
        <v>349.6</v>
      </c>
      <c r="E4" s="4">
        <v>1035.8499999999999</v>
      </c>
      <c r="F4" s="4">
        <v>0</v>
      </c>
      <c r="G4" s="12">
        <f t="shared" si="1"/>
        <v>1035.8499999999999</v>
      </c>
      <c r="H4" s="13">
        <f t="shared" si="2"/>
        <v>-686.24999999999989</v>
      </c>
    </row>
    <row r="5" spans="1:8" ht="18.75" customHeight="1" x14ac:dyDescent="0.3">
      <c r="A5" s="11">
        <v>45536</v>
      </c>
      <c r="B5" s="14">
        <v>1023.8</v>
      </c>
      <c r="C5" s="14">
        <v>1250.5</v>
      </c>
      <c r="D5" s="12">
        <f t="shared" si="0"/>
        <v>2274.3000000000002</v>
      </c>
      <c r="E5" s="4">
        <v>1044.42</v>
      </c>
      <c r="F5" s="4">
        <v>0</v>
      </c>
      <c r="G5" s="12">
        <f t="shared" si="1"/>
        <v>1044.42</v>
      </c>
      <c r="H5" s="13">
        <f t="shared" si="2"/>
        <v>1229.8800000000001</v>
      </c>
    </row>
    <row r="6" spans="1:8" ht="18.75" customHeight="1" x14ac:dyDescent="0.3">
      <c r="A6" s="11">
        <v>45566</v>
      </c>
      <c r="B6" s="14">
        <v>1023.8</v>
      </c>
      <c r="C6" s="14">
        <v>0</v>
      </c>
      <c r="D6" s="12">
        <f t="shared" si="0"/>
        <v>1023.8</v>
      </c>
      <c r="E6" s="4">
        <v>1225.02</v>
      </c>
      <c r="F6" s="4">
        <v>0</v>
      </c>
      <c r="G6" s="12">
        <f t="shared" si="1"/>
        <v>1225.02</v>
      </c>
      <c r="H6" s="13">
        <f t="shared" si="2"/>
        <v>-201.22000000000003</v>
      </c>
    </row>
    <row r="7" spans="1:8" ht="18.75" customHeight="1" x14ac:dyDescent="0.3">
      <c r="A7" s="11">
        <v>45597</v>
      </c>
      <c r="B7" s="14">
        <v>1023.8</v>
      </c>
      <c r="C7" s="14">
        <v>404.11</v>
      </c>
      <c r="D7" s="12">
        <f t="shared" si="0"/>
        <v>1427.9099999999999</v>
      </c>
      <c r="E7" s="4">
        <v>1074.49</v>
      </c>
      <c r="F7" s="4">
        <v>0</v>
      </c>
      <c r="G7" s="12">
        <f t="shared" si="1"/>
        <v>1074.49</v>
      </c>
      <c r="H7" s="13">
        <f t="shared" si="2"/>
        <v>353.41999999999985</v>
      </c>
    </row>
    <row r="8" spans="1:8" ht="18.75" customHeight="1" x14ac:dyDescent="0.3">
      <c r="A8" s="11">
        <v>45627</v>
      </c>
      <c r="B8" s="14">
        <v>1023.8</v>
      </c>
      <c r="C8" s="14">
        <v>100</v>
      </c>
      <c r="D8" s="12">
        <f t="shared" si="0"/>
        <v>1123.8</v>
      </c>
      <c r="E8" s="4">
        <v>939.93</v>
      </c>
      <c r="F8" s="4">
        <v>0</v>
      </c>
      <c r="G8" s="12">
        <f t="shared" si="1"/>
        <v>939.93</v>
      </c>
      <c r="H8" s="13">
        <f t="shared" si="2"/>
        <v>183.87</v>
      </c>
    </row>
    <row r="9" spans="1:8" ht="18.75" customHeight="1" x14ac:dyDescent="0.3">
      <c r="A9" s="11">
        <v>45658</v>
      </c>
      <c r="B9" s="14">
        <v>1023.8</v>
      </c>
      <c r="C9" s="14">
        <v>436.34</v>
      </c>
      <c r="D9" s="12">
        <f t="shared" si="0"/>
        <v>1460.1399999999999</v>
      </c>
      <c r="E9" s="4">
        <v>972.88</v>
      </c>
      <c r="F9" s="4">
        <v>0</v>
      </c>
      <c r="G9" s="12">
        <f t="shared" si="1"/>
        <v>972.88</v>
      </c>
      <c r="H9" s="13">
        <f t="shared" si="2"/>
        <v>487.25999999999988</v>
      </c>
    </row>
    <row r="10" spans="1:8" ht="18.75" customHeight="1" x14ac:dyDescent="0.3">
      <c r="A10" s="11">
        <v>45689</v>
      </c>
      <c r="B10" s="14">
        <v>1023.8</v>
      </c>
      <c r="C10" s="14">
        <v>650.47</v>
      </c>
      <c r="D10" s="12">
        <f t="shared" si="0"/>
        <v>1674.27</v>
      </c>
      <c r="E10" s="4">
        <v>837.66</v>
      </c>
      <c r="F10" s="4">
        <v>298.06</v>
      </c>
      <c r="G10" s="12">
        <f t="shared" si="1"/>
        <v>1135.72</v>
      </c>
      <c r="H10" s="13">
        <f t="shared" si="2"/>
        <v>538.54999999999995</v>
      </c>
    </row>
    <row r="11" spans="1:8" ht="18.75" customHeight="1" x14ac:dyDescent="0.3">
      <c r="A11" s="11">
        <v>45717</v>
      </c>
      <c r="B11" s="14">
        <v>1023.8</v>
      </c>
      <c r="C11" s="14">
        <v>0</v>
      </c>
      <c r="D11" s="12">
        <f t="shared" si="0"/>
        <v>1023.8</v>
      </c>
      <c r="E11" s="4">
        <v>1179.8900000000001</v>
      </c>
      <c r="F11" s="4">
        <v>0</v>
      </c>
      <c r="G11" s="12">
        <f t="shared" si="1"/>
        <v>1179.8900000000001</v>
      </c>
      <c r="H11" s="13">
        <f t="shared" si="2"/>
        <v>-156.09000000000015</v>
      </c>
    </row>
    <row r="12" spans="1:8" ht="18.75" customHeight="1" x14ac:dyDescent="0.3">
      <c r="A12" s="11">
        <v>45748</v>
      </c>
      <c r="B12" s="4">
        <v>1115.19</v>
      </c>
      <c r="C12" s="4">
        <v>0</v>
      </c>
      <c r="D12" s="12">
        <f t="shared" si="0"/>
        <v>1115.19</v>
      </c>
      <c r="E12" s="4">
        <v>1240.69</v>
      </c>
      <c r="F12" s="4">
        <v>0</v>
      </c>
      <c r="G12" s="12">
        <f t="shared" si="1"/>
        <v>1240.69</v>
      </c>
      <c r="H12" s="13">
        <f t="shared" si="2"/>
        <v>-125.5</v>
      </c>
    </row>
    <row r="13" spans="1:8" ht="18.75" customHeight="1" x14ac:dyDescent="0.3">
      <c r="A13" s="11">
        <v>45778</v>
      </c>
      <c r="B13" s="4">
        <v>1115.19</v>
      </c>
      <c r="C13" s="4">
        <v>102.54</v>
      </c>
      <c r="D13" s="12">
        <f t="shared" si="0"/>
        <v>1217.73</v>
      </c>
      <c r="E13" s="4">
        <v>1283.4000000000001</v>
      </c>
      <c r="F13" s="4">
        <v>0</v>
      </c>
      <c r="G13" s="12">
        <f t="shared" si="1"/>
        <v>1283.4000000000001</v>
      </c>
      <c r="H13" s="13">
        <f t="shared" si="2"/>
        <v>-65.670000000000073</v>
      </c>
    </row>
    <row r="14" spans="1:8" ht="18.75" customHeight="1" x14ac:dyDescent="0.3">
      <c r="A14" s="11">
        <v>45809</v>
      </c>
      <c r="B14" s="4">
        <v>0</v>
      </c>
      <c r="C14" s="4">
        <v>0</v>
      </c>
      <c r="D14" s="12">
        <f t="shared" si="0"/>
        <v>0</v>
      </c>
      <c r="E14" s="4">
        <v>1193.71</v>
      </c>
      <c r="F14" s="4">
        <v>0</v>
      </c>
      <c r="G14" s="12">
        <f t="shared" si="1"/>
        <v>1193.71</v>
      </c>
      <c r="H14" s="13">
        <f t="shared" si="2"/>
        <v>-1193.71</v>
      </c>
    </row>
    <row r="15" spans="1:8" ht="18.75" customHeight="1" x14ac:dyDescent="0.3"/>
    <row r="16" spans="1:8" ht="18.75" customHeight="1" x14ac:dyDescent="0.3"/>
    <row r="17" spans="3:12" ht="18.75" customHeight="1" x14ac:dyDescent="0.3"/>
    <row r="18" spans="3:12" ht="18.75" customHeight="1" x14ac:dyDescent="0.3">
      <c r="G18" s="17"/>
      <c r="H18" s="18"/>
      <c r="I18" s="19"/>
    </row>
    <row r="19" spans="3:12" ht="18.75" customHeight="1" x14ac:dyDescent="0.3">
      <c r="C19" s="20"/>
      <c r="G19" s="17"/>
      <c r="H19" s="18"/>
      <c r="I19" s="19"/>
    </row>
    <row r="20" spans="3:12" ht="18.75" customHeight="1" x14ac:dyDescent="0.3">
      <c r="G20" s="17"/>
      <c r="H20" s="21"/>
      <c r="I20" s="19"/>
    </row>
    <row r="21" spans="3:12" ht="18.75" customHeight="1" x14ac:dyDescent="0.3">
      <c r="G21" s="17"/>
      <c r="H21" s="21"/>
      <c r="I21" s="19"/>
    </row>
    <row r="22" spans="3:12" ht="18.75" customHeight="1" x14ac:dyDescent="0.3">
      <c r="G22" s="17"/>
      <c r="H22" s="21"/>
      <c r="I22" s="19"/>
      <c r="L22" s="13"/>
    </row>
    <row r="23" spans="3:12" ht="18.75" customHeight="1" x14ac:dyDescent="0.3">
      <c r="D23" s="20"/>
      <c r="E23" s="20"/>
      <c r="F23" s="20"/>
      <c r="G23" s="17"/>
      <c r="H23" s="21"/>
      <c r="I23" s="19"/>
    </row>
    <row r="24" spans="3:12" ht="18.75" customHeight="1" x14ac:dyDescent="0.3">
      <c r="G24" s="17"/>
      <c r="H24" s="18"/>
      <c r="I24" s="19"/>
    </row>
    <row r="25" spans="3:12" ht="18.75" customHeight="1" x14ac:dyDescent="0.3">
      <c r="G25" s="17"/>
      <c r="H25" s="21"/>
      <c r="I25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M11"/>
  <sheetViews>
    <sheetView workbookViewId="0">
      <selection activeCell="J13" sqref="J13"/>
    </sheetView>
  </sheetViews>
  <sheetFormatPr defaultRowHeight="14.4" x14ac:dyDescent="0.3"/>
  <cols>
    <col min="1" max="1" width="16.33203125" bestFit="1" customWidth="1"/>
    <col min="2" max="7" width="9.33203125" style="6" bestFit="1" customWidth="1"/>
    <col min="8" max="8" width="9" style="7" bestFit="1" customWidth="1"/>
    <col min="9" max="13" width="9.33203125" style="6" bestFit="1" customWidth="1"/>
  </cols>
  <sheetData>
    <row r="1" spans="1:13" ht="18.75" customHeight="1" x14ac:dyDescent="0.3">
      <c r="A1" s="1" t="s">
        <v>0</v>
      </c>
      <c r="B1" s="2">
        <v>45474</v>
      </c>
      <c r="C1" s="2">
        <v>45505</v>
      </c>
      <c r="D1" s="2">
        <v>45536</v>
      </c>
      <c r="E1" s="2">
        <v>45566</v>
      </c>
      <c r="F1" s="2">
        <v>45597</v>
      </c>
      <c r="G1" s="2">
        <v>45627</v>
      </c>
      <c r="H1" s="2">
        <v>45658</v>
      </c>
      <c r="I1" s="2">
        <v>45689</v>
      </c>
      <c r="J1" s="2">
        <v>45717</v>
      </c>
      <c r="K1" s="2">
        <v>45748</v>
      </c>
      <c r="L1" s="2">
        <v>45778</v>
      </c>
      <c r="M1" s="2">
        <v>45809</v>
      </c>
    </row>
    <row r="2" spans="1:13" ht="19.5" customHeight="1" x14ac:dyDescent="0.3">
      <c r="A2" s="3" t="s">
        <v>1</v>
      </c>
      <c r="B2" s="4">
        <v>146.97999999999999</v>
      </c>
      <c r="C2" s="4">
        <v>167.96</v>
      </c>
      <c r="D2" s="4">
        <v>177.23000000000002</v>
      </c>
      <c r="E2" s="4">
        <v>50.86</v>
      </c>
      <c r="F2" s="4">
        <v>135.14999999999998</v>
      </c>
      <c r="G2" s="4">
        <v>102.53999999999999</v>
      </c>
      <c r="H2" s="4">
        <v>102.53999999999999</v>
      </c>
      <c r="I2" s="5">
        <v>140.82</v>
      </c>
      <c r="J2" s="5">
        <v>146.88999999999999</v>
      </c>
      <c r="K2" s="5">
        <v>165.04</v>
      </c>
      <c r="L2" s="5">
        <v>169.24999999999997</v>
      </c>
      <c r="M2" s="5">
        <v>92.249999999999986</v>
      </c>
    </row>
    <row r="3" spans="1:13" ht="19.5" customHeight="1" x14ac:dyDescent="0.3">
      <c r="A3" s="3" t="s">
        <v>2</v>
      </c>
      <c r="B3" s="4">
        <v>36.75</v>
      </c>
      <c r="C3" s="4">
        <v>179.18</v>
      </c>
      <c r="D3" s="4">
        <v>172.09</v>
      </c>
      <c r="E3" s="4">
        <v>151.34</v>
      </c>
      <c r="F3" s="4">
        <v>163.84</v>
      </c>
      <c r="G3" s="4">
        <v>143.09</v>
      </c>
      <c r="H3" s="4">
        <v>143.09</v>
      </c>
      <c r="I3" s="5">
        <v>190.5</v>
      </c>
      <c r="J3" s="5">
        <v>305.67</v>
      </c>
      <c r="K3" s="5">
        <v>142.61000000000001</v>
      </c>
      <c r="L3" s="5">
        <v>181.86</v>
      </c>
      <c r="M3" s="5">
        <v>139.11000000000001</v>
      </c>
    </row>
    <row r="4" spans="1:13" ht="19.5" customHeight="1" x14ac:dyDescent="0.3">
      <c r="A4" s="3" t="s">
        <v>3</v>
      </c>
      <c r="B4" s="4">
        <v>15.950000000000001</v>
      </c>
      <c r="C4" s="4">
        <v>3.76</v>
      </c>
      <c r="D4" s="4">
        <v>18.93</v>
      </c>
      <c r="E4" s="4">
        <v>9</v>
      </c>
      <c r="F4" s="4">
        <v>28.24</v>
      </c>
      <c r="G4" s="4">
        <v>11.05</v>
      </c>
      <c r="H4" s="4">
        <v>11.05</v>
      </c>
      <c r="I4" s="5">
        <v>10.4</v>
      </c>
      <c r="J4" s="5">
        <v>7.8</v>
      </c>
      <c r="K4" s="5">
        <v>7.29</v>
      </c>
      <c r="L4" s="5">
        <v>0</v>
      </c>
      <c r="M4" s="5">
        <v>29.5</v>
      </c>
    </row>
    <row r="5" spans="1:13" ht="19.5" customHeight="1" x14ac:dyDescent="0.3">
      <c r="A5" s="3" t="s">
        <v>4</v>
      </c>
      <c r="B5" s="4">
        <v>0</v>
      </c>
      <c r="C5" s="4">
        <v>0</v>
      </c>
      <c r="D5" s="4">
        <v>29.87</v>
      </c>
      <c r="E5" s="4">
        <v>17.560000000000002</v>
      </c>
      <c r="F5" s="4">
        <v>5.59</v>
      </c>
      <c r="G5" s="4">
        <v>52.92</v>
      </c>
      <c r="H5" s="4">
        <v>52.92</v>
      </c>
      <c r="I5" s="5">
        <v>9.65</v>
      </c>
      <c r="J5" s="5">
        <v>0</v>
      </c>
      <c r="K5" s="5">
        <v>54.209999999999994</v>
      </c>
      <c r="L5" s="5">
        <v>38.57</v>
      </c>
      <c r="M5" s="5">
        <v>29.22</v>
      </c>
    </row>
    <row r="6" spans="1:13" ht="19.5" customHeight="1" x14ac:dyDescent="0.3">
      <c r="A6" s="3" t="s">
        <v>5</v>
      </c>
      <c r="B6" s="4">
        <v>22.75</v>
      </c>
      <c r="C6" s="4">
        <v>136.65</v>
      </c>
      <c r="D6" s="4">
        <v>138.78</v>
      </c>
      <c r="E6" s="4">
        <v>565.41000000000008</v>
      </c>
      <c r="F6" s="4">
        <v>276.43</v>
      </c>
      <c r="G6" s="4">
        <v>85.5</v>
      </c>
      <c r="H6" s="4">
        <v>85.5</v>
      </c>
      <c r="I6" s="5">
        <v>348.63</v>
      </c>
      <c r="J6" s="5">
        <v>381.3</v>
      </c>
      <c r="K6" s="5">
        <v>201.54000000000002</v>
      </c>
      <c r="L6" s="5">
        <v>341.1</v>
      </c>
      <c r="M6" s="5">
        <v>348.8</v>
      </c>
    </row>
    <row r="7" spans="1:13" ht="19.5" customHeight="1" x14ac:dyDescent="0.3">
      <c r="A7" s="3" t="s">
        <v>6</v>
      </c>
      <c r="B7" s="4">
        <v>286.69</v>
      </c>
      <c r="C7" s="4">
        <v>334.59999999999997</v>
      </c>
      <c r="D7" s="4">
        <v>274</v>
      </c>
      <c r="E7" s="4">
        <v>274</v>
      </c>
      <c r="F7" s="4">
        <v>284.8</v>
      </c>
      <c r="G7" s="4">
        <v>274</v>
      </c>
      <c r="H7" s="4">
        <v>274</v>
      </c>
      <c r="I7" s="5">
        <v>294</v>
      </c>
      <c r="J7" s="5">
        <v>283</v>
      </c>
      <c r="K7" s="5">
        <v>284</v>
      </c>
      <c r="L7" s="5">
        <v>284.67</v>
      </c>
      <c r="M7" s="5">
        <v>274</v>
      </c>
    </row>
    <row r="8" spans="1:13" ht="19.5" customHeight="1" x14ac:dyDescent="0.3">
      <c r="A8" s="3" t="s">
        <v>7</v>
      </c>
      <c r="B8" s="4">
        <v>50</v>
      </c>
      <c r="C8" s="4">
        <v>66</v>
      </c>
      <c r="D8" s="4">
        <v>91.06</v>
      </c>
      <c r="E8" s="4">
        <v>45</v>
      </c>
      <c r="F8" s="4">
        <v>40.76</v>
      </c>
      <c r="G8" s="4">
        <v>40</v>
      </c>
      <c r="H8" s="4">
        <v>40</v>
      </c>
      <c r="I8" s="5">
        <v>81.91</v>
      </c>
      <c r="J8" s="5">
        <v>0</v>
      </c>
      <c r="K8" s="5">
        <v>60</v>
      </c>
      <c r="L8" s="5">
        <v>70</v>
      </c>
      <c r="M8" s="5">
        <v>0</v>
      </c>
    </row>
    <row r="9" spans="1:13" ht="19.5" customHeight="1" x14ac:dyDescent="0.3">
      <c r="A9" s="3" t="s">
        <v>8</v>
      </c>
      <c r="B9" s="4">
        <v>267.67</v>
      </c>
      <c r="C9" s="4">
        <v>28.869999999999997</v>
      </c>
      <c r="D9" s="4">
        <v>72.47</v>
      </c>
      <c r="E9" s="4">
        <v>26.92</v>
      </c>
      <c r="F9" s="4">
        <v>50.83</v>
      </c>
      <c r="G9" s="4">
        <v>107.53999999999999</v>
      </c>
      <c r="H9" s="4">
        <v>107.53999999999999</v>
      </c>
      <c r="I9" s="5">
        <v>-261.26</v>
      </c>
      <c r="J9" s="5">
        <v>-54.55</v>
      </c>
      <c r="K9" s="5">
        <v>110.52999999999999</v>
      </c>
      <c r="L9" s="5">
        <v>134.01</v>
      </c>
      <c r="M9" s="5">
        <v>80.150000000000006</v>
      </c>
    </row>
    <row r="10" spans="1:13" ht="19.5" customHeight="1" x14ac:dyDescent="0.3">
      <c r="A10" s="3" t="s">
        <v>9</v>
      </c>
      <c r="B10" s="4">
        <v>41.910000000000004</v>
      </c>
      <c r="C10" s="4">
        <v>22.11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ht="19.5" customHeight="1" x14ac:dyDescent="0.3">
      <c r="A11" s="3" t="s">
        <v>10</v>
      </c>
      <c r="B11" s="4">
        <v>39.93</v>
      </c>
      <c r="C11" s="4">
        <v>96.72</v>
      </c>
      <c r="D11" s="4">
        <v>69.989999999999995</v>
      </c>
      <c r="E11" s="4">
        <v>84.93</v>
      </c>
      <c r="F11" s="4">
        <v>88.85</v>
      </c>
      <c r="G11" s="4">
        <v>123.28999999999999</v>
      </c>
      <c r="H11" s="4">
        <v>123.28999999999999</v>
      </c>
      <c r="I11" s="5">
        <v>23.009999999999998</v>
      </c>
      <c r="J11" s="5">
        <v>109.78</v>
      </c>
      <c r="K11" s="5">
        <v>215.47</v>
      </c>
      <c r="L11" s="5">
        <v>63.94</v>
      </c>
      <c r="M11" s="5">
        <v>200.35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Entrada_Saida_Real</vt:lpstr>
      <vt:lpstr>Investido</vt:lpstr>
      <vt:lpstr>Entrada_Saida_Euro</vt:lpstr>
      <vt:lpstr>Categoria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Jucelio Tavares Junior</cp:lastModifiedBy>
  <dcterms:created xsi:type="dcterms:W3CDTF">2025-07-20T12:51:37Z</dcterms:created>
  <dcterms:modified xsi:type="dcterms:W3CDTF">2025-08-19T12:27:37Z</dcterms:modified>
</cp:coreProperties>
</file>