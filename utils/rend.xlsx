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b40b33bde7a406e5/Documentos/GitHub/finance-manager-flask-project/utils/"/>
    </mc:Choice>
  </mc:AlternateContent>
  <xr:revisionPtr revIDLastSave="1353" documentId="8_{88DDED79-8BA4-4D68-8270-99649736F5F5}" xr6:coauthVersionLast="47" xr6:coauthVersionMax="47" xr10:uidLastSave="{617BCEFF-F033-45D9-965F-A458E791992A}"/>
  <bookViews>
    <workbookView xWindow="0" yWindow="2340" windowWidth="26745" windowHeight="13140" activeTab="8" xr2:uid="{A1DF34BC-4BBA-49F5-A19C-C26AA9D632AD}"/>
  </bookViews>
  <sheets>
    <sheet name="TGAR11" sheetId="2" r:id="rId1"/>
    <sheet name="JPPA11" sheetId="3" r:id="rId2"/>
    <sheet name="BNFS11" sheetId="4" r:id="rId3"/>
    <sheet name="HGRU11" sheetId="5" r:id="rId4"/>
    <sheet name="XPML11" sheetId="6" r:id="rId5"/>
    <sheet name="GTWR11" sheetId="8" r:id="rId6"/>
    <sheet name="FAED11" sheetId="9" r:id="rId7"/>
    <sheet name="BTHF11" sheetId="10" r:id="rId8"/>
    <sheet name="RBVA11" sheetId="11" r:id="rId9"/>
    <sheet name="TVRI11" sheetId="7" r:id="rId10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K5" i="11" l="1"/>
  <c r="I8" i="11"/>
  <c r="H9" i="11"/>
  <c r="H11" i="11"/>
  <c r="H14" i="11"/>
  <c r="H17" i="11"/>
  <c r="H20" i="11"/>
  <c r="H22" i="11"/>
  <c r="H24" i="11"/>
  <c r="H28" i="11"/>
  <c r="H30" i="11"/>
  <c r="H53" i="11"/>
  <c r="H8" i="11"/>
  <c r="G5" i="11"/>
  <c r="G14" i="11"/>
  <c r="G17" i="11"/>
  <c r="G20" i="11"/>
  <c r="G22" i="11"/>
  <c r="G28" i="11"/>
  <c r="G3" i="11"/>
  <c r="R8" i="11"/>
  <c r="E8" i="11"/>
  <c r="G9" i="11" s="1"/>
  <c r="E9" i="11"/>
  <c r="E10" i="11"/>
  <c r="G11" i="11" s="1"/>
  <c r="E11" i="11"/>
  <c r="E12" i="11"/>
  <c r="E13" i="11"/>
  <c r="E14" i="11"/>
  <c r="E15" i="11"/>
  <c r="E16" i="11"/>
  <c r="E17" i="11"/>
  <c r="E18" i="11"/>
  <c r="E19" i="11"/>
  <c r="E20" i="11"/>
  <c r="E21" i="11"/>
  <c r="E22" i="11"/>
  <c r="E23" i="11"/>
  <c r="E24" i="11"/>
  <c r="G24" i="11" s="1"/>
  <c r="E25" i="11"/>
  <c r="E26" i="11"/>
  <c r="E27" i="11"/>
  <c r="E28" i="11"/>
  <c r="E29" i="11"/>
  <c r="E30" i="11"/>
  <c r="E31" i="11"/>
  <c r="E32" i="11"/>
  <c r="E33" i="11"/>
  <c r="E34" i="11"/>
  <c r="E35" i="11"/>
  <c r="E36" i="11"/>
  <c r="E37" i="11"/>
  <c r="E38" i="11"/>
  <c r="E39" i="11"/>
  <c r="E40" i="11"/>
  <c r="E41" i="11"/>
  <c r="E42" i="11"/>
  <c r="E43" i="11"/>
  <c r="E44" i="11"/>
  <c r="E45" i="11"/>
  <c r="E46" i="11"/>
  <c r="E47" i="11"/>
  <c r="E48" i="11"/>
  <c r="E49" i="11"/>
  <c r="E50" i="11"/>
  <c r="E51" i="11"/>
  <c r="E52" i="11"/>
  <c r="E53" i="11"/>
  <c r="G53" i="11" s="1"/>
  <c r="E7" i="11"/>
  <c r="P15" i="11"/>
  <c r="L11" i="11"/>
  <c r="L3" i="11"/>
  <c r="D3" i="4"/>
  <c r="D4" i="4"/>
  <c r="D5" i="4"/>
  <c r="D6" i="4"/>
  <c r="D13" i="4"/>
  <c r="D16" i="4"/>
  <c r="D17" i="4"/>
  <c r="D18" i="4"/>
  <c r="D19" i="4"/>
  <c r="D20" i="4"/>
  <c r="D23" i="4"/>
  <c r="D24" i="4"/>
  <c r="D25" i="4"/>
  <c r="D26" i="4"/>
  <c r="D27" i="4"/>
  <c r="D28" i="4"/>
  <c r="D29" i="4"/>
  <c r="D30" i="4"/>
  <c r="D31" i="4"/>
  <c r="D32" i="4"/>
  <c r="D33" i="4"/>
  <c r="D34" i="4"/>
  <c r="D35" i="4"/>
  <c r="D36" i="4"/>
  <c r="D37" i="4"/>
  <c r="D38" i="4"/>
  <c r="D39" i="4"/>
  <c r="D40" i="4"/>
  <c r="D41" i="4"/>
  <c r="D42" i="4"/>
  <c r="D43" i="4"/>
  <c r="D44" i="4"/>
  <c r="D45" i="4"/>
  <c r="D46" i="4"/>
  <c r="D47" i="4"/>
  <c r="D48" i="4"/>
  <c r="D49" i="4"/>
  <c r="D50" i="4"/>
  <c r="D51" i="4"/>
  <c r="D52" i="4"/>
  <c r="D53" i="4"/>
  <c r="D2" i="4"/>
  <c r="D2" i="3"/>
  <c r="D12" i="3"/>
  <c r="D13" i="3"/>
  <c r="D14" i="3"/>
  <c r="D15" i="3"/>
  <c r="D16" i="3"/>
  <c r="D17" i="3"/>
  <c r="D18" i="3"/>
  <c r="D19" i="3"/>
  <c r="D20" i="3"/>
  <c r="D21" i="3"/>
  <c r="D22" i="3"/>
  <c r="D23" i="3"/>
  <c r="D24" i="3"/>
  <c r="D25" i="3"/>
  <c r="D26" i="3"/>
  <c r="D27" i="3"/>
  <c r="D28" i="3"/>
  <c r="D29" i="3"/>
  <c r="D30" i="3"/>
  <c r="D31" i="3"/>
  <c r="D32" i="3"/>
  <c r="D33" i="3"/>
  <c r="D34" i="3"/>
  <c r="D35" i="3"/>
  <c r="D36" i="3"/>
  <c r="D37" i="3"/>
  <c r="D38" i="3"/>
  <c r="D39" i="3"/>
  <c r="D40" i="3"/>
  <c r="D41" i="3"/>
  <c r="D42" i="3"/>
  <c r="D43" i="3"/>
  <c r="D44" i="3"/>
  <c r="D45" i="3"/>
  <c r="D46" i="3"/>
  <c r="D47" i="3"/>
  <c r="D48" i="3"/>
  <c r="D49" i="3"/>
  <c r="D50" i="3"/>
  <c r="D51" i="3"/>
  <c r="D52" i="3"/>
  <c r="D3" i="2"/>
  <c r="D4" i="2"/>
  <c r="D5" i="2"/>
  <c r="D6" i="2"/>
  <c r="D7" i="2"/>
  <c r="D8" i="2"/>
  <c r="D9" i="2"/>
  <c r="D10" i="2"/>
  <c r="D11" i="2"/>
  <c r="D12" i="2"/>
  <c r="D13" i="2"/>
  <c r="D14" i="2"/>
  <c r="D15" i="2"/>
  <c r="D16" i="2"/>
  <c r="D17" i="2"/>
  <c r="D18" i="2"/>
  <c r="D19" i="2"/>
  <c r="D20" i="2"/>
  <c r="D21" i="2"/>
  <c r="D22" i="2"/>
  <c r="D23" i="2"/>
  <c r="D24" i="2"/>
  <c r="D25" i="2"/>
  <c r="D26" i="2"/>
  <c r="D27" i="2"/>
  <c r="D28" i="2"/>
  <c r="D29" i="2"/>
  <c r="D30" i="2"/>
  <c r="D31" i="2"/>
  <c r="D32" i="2"/>
  <c r="D33" i="2"/>
  <c r="D34" i="2"/>
  <c r="D35" i="2"/>
  <c r="D36" i="2"/>
  <c r="D37" i="2"/>
  <c r="D38" i="2"/>
  <c r="D39" i="2"/>
  <c r="D40" i="2"/>
  <c r="D41" i="2"/>
  <c r="D42" i="2"/>
  <c r="D43" i="2"/>
  <c r="D44" i="2"/>
  <c r="D45" i="2"/>
  <c r="D46" i="2"/>
  <c r="D47" i="2"/>
  <c r="D48" i="2"/>
  <c r="D49" i="2"/>
  <c r="D50" i="2"/>
  <c r="D51" i="2"/>
  <c r="D52" i="2"/>
  <c r="D53" i="2"/>
  <c r="D54" i="2"/>
  <c r="D55" i="2"/>
  <c r="D56" i="2"/>
  <c r="D57" i="2"/>
  <c r="D58" i="2"/>
  <c r="D59" i="2"/>
  <c r="D60" i="2"/>
  <c r="D61" i="2"/>
  <c r="D62" i="2"/>
  <c r="D63" i="2"/>
  <c r="D2" i="2"/>
  <c r="D11" i="3"/>
  <c r="D10" i="3"/>
  <c r="D9" i="3"/>
  <c r="D8" i="3"/>
  <c r="D7" i="3"/>
  <c r="D6" i="3"/>
  <c r="D5" i="3"/>
  <c r="D4" i="3"/>
  <c r="D3" i="3"/>
  <c r="D2" i="10"/>
  <c r="D3" i="6"/>
  <c r="D4" i="6"/>
  <c r="D5" i="6"/>
  <c r="D6" i="6"/>
  <c r="D7" i="6"/>
  <c r="D8" i="6"/>
  <c r="D9" i="6"/>
  <c r="D10" i="6"/>
  <c r="D11" i="6"/>
  <c r="D12" i="6"/>
  <c r="D13" i="6"/>
  <c r="D14" i="6"/>
  <c r="D15" i="6"/>
  <c r="D16" i="6"/>
  <c r="D17" i="6"/>
  <c r="D18" i="6"/>
  <c r="D19" i="6"/>
  <c r="D20" i="6"/>
  <c r="D21" i="6"/>
  <c r="D22" i="6"/>
  <c r="D23" i="6"/>
  <c r="D24" i="6"/>
  <c r="D25" i="6"/>
  <c r="D26" i="6"/>
  <c r="D27" i="6"/>
  <c r="D28" i="6"/>
  <c r="D29" i="6"/>
  <c r="D30" i="6"/>
  <c r="D31" i="6"/>
  <c r="D32" i="6"/>
  <c r="D33" i="6"/>
  <c r="D2" i="6"/>
  <c r="D3" i="7"/>
  <c r="D4" i="7"/>
  <c r="D5" i="7"/>
  <c r="D6" i="7"/>
  <c r="D7" i="7"/>
  <c r="D8" i="7"/>
  <c r="D9" i="7"/>
  <c r="D10" i="7"/>
  <c r="D11" i="7"/>
  <c r="D12" i="7"/>
  <c r="D13" i="7"/>
  <c r="D14" i="7"/>
  <c r="D15" i="7"/>
  <c r="D16" i="7"/>
  <c r="D17" i="7"/>
  <c r="D18" i="7"/>
  <c r="D19" i="7"/>
  <c r="D20" i="7"/>
  <c r="D21" i="7"/>
  <c r="D22" i="7"/>
  <c r="D23" i="7"/>
  <c r="D24" i="7"/>
  <c r="D25" i="7"/>
  <c r="D26" i="7"/>
  <c r="D27" i="7"/>
  <c r="D28" i="7"/>
  <c r="D29" i="7"/>
  <c r="D30" i="7"/>
  <c r="D31" i="7"/>
  <c r="D32" i="7"/>
  <c r="D33" i="7"/>
  <c r="D2" i="7"/>
  <c r="D2" i="11"/>
  <c r="D3" i="11"/>
  <c r="D4" i="11"/>
  <c r="D5" i="11"/>
  <c r="D6" i="11"/>
  <c r="D7" i="11"/>
  <c r="D8" i="11"/>
  <c r="D9" i="11"/>
  <c r="D10" i="11"/>
  <c r="D11" i="11"/>
  <c r="D12" i="11"/>
  <c r="D13" i="11"/>
  <c r="D14" i="11"/>
  <c r="D15" i="11"/>
  <c r="D16" i="11"/>
  <c r="D17" i="11"/>
  <c r="D18" i="11"/>
  <c r="D19" i="11"/>
  <c r="D20" i="11"/>
  <c r="D21" i="11"/>
  <c r="D22" i="11"/>
  <c r="D23" i="11"/>
  <c r="D24" i="11"/>
  <c r="D25" i="11"/>
  <c r="D26" i="11"/>
  <c r="D27" i="11"/>
  <c r="D28" i="11"/>
  <c r="D29" i="11"/>
  <c r="D30" i="11"/>
  <c r="D31" i="11"/>
  <c r="D32" i="11"/>
  <c r="D33" i="11"/>
  <c r="D34" i="11"/>
  <c r="D35" i="11"/>
  <c r="D36" i="11"/>
  <c r="D37" i="11"/>
  <c r="D38" i="11"/>
  <c r="D39" i="11"/>
  <c r="D40" i="11"/>
  <c r="D41" i="11"/>
  <c r="D42" i="11"/>
  <c r="D43" i="11"/>
  <c r="D44" i="11"/>
  <c r="D45" i="11"/>
  <c r="D46" i="11"/>
  <c r="D47" i="11"/>
  <c r="D48" i="11"/>
  <c r="D49" i="11"/>
  <c r="D50" i="11"/>
  <c r="D51" i="11"/>
  <c r="D52" i="11"/>
  <c r="D3" i="5"/>
  <c r="D4" i="5"/>
  <c r="D5" i="5"/>
  <c r="D6" i="5"/>
  <c r="D7" i="5"/>
  <c r="D8" i="5"/>
  <c r="D9" i="5"/>
  <c r="D10" i="5"/>
  <c r="D11" i="5"/>
  <c r="D12" i="5"/>
  <c r="D13" i="5"/>
  <c r="D14" i="5"/>
  <c r="D15" i="5"/>
  <c r="D16" i="5"/>
  <c r="D17" i="5"/>
  <c r="D18" i="5"/>
  <c r="D19" i="5"/>
  <c r="D20" i="5"/>
  <c r="D21" i="5"/>
  <c r="D22" i="5"/>
  <c r="D23" i="5"/>
  <c r="D24" i="5"/>
  <c r="D25" i="5"/>
  <c r="D26" i="5"/>
  <c r="D27" i="5"/>
  <c r="D28" i="5"/>
  <c r="D29" i="5"/>
  <c r="D30" i="5"/>
  <c r="D31" i="5"/>
  <c r="D32" i="5"/>
  <c r="D33" i="5"/>
  <c r="D2" i="5"/>
  <c r="D3" i="8"/>
  <c r="D4" i="8"/>
  <c r="D5" i="8"/>
  <c r="D6" i="8"/>
  <c r="D7" i="8"/>
  <c r="D8" i="8"/>
  <c r="D9" i="8"/>
  <c r="D10" i="8"/>
  <c r="D2" i="8"/>
  <c r="D3" i="9"/>
  <c r="D4" i="9"/>
  <c r="D5" i="9"/>
  <c r="D6" i="9"/>
  <c r="D7" i="9"/>
  <c r="D8" i="9"/>
  <c r="D9" i="9"/>
  <c r="D10" i="9"/>
  <c r="D11" i="9"/>
  <c r="D2" i="9"/>
  <c r="G30" i="11" l="1"/>
  <c r="G8" i="11"/>
</calcChain>
</file>

<file path=xl/sharedStrings.xml><?xml version="1.0" encoding="utf-8"?>
<sst xmlns="http://schemas.openxmlformats.org/spreadsheetml/2006/main" count="52" uniqueCount="14">
  <si>
    <t>Valor por Cota (R$)</t>
  </si>
  <si>
    <t>Período de Referência</t>
  </si>
  <si>
    <t>1,66</t>
  </si>
  <si>
    <t>1,59</t>
  </si>
  <si>
    <t>1,71</t>
  </si>
  <si>
    <t>1,60</t>
  </si>
  <si>
    <t>1,70</t>
  </si>
  <si>
    <t>Cotas</t>
  </si>
  <si>
    <t>Total</t>
  </si>
  <si>
    <t>Cotas Pagantes</t>
  </si>
  <si>
    <t>+4</t>
  </si>
  <si>
    <t>+25</t>
  </si>
  <si>
    <t>Valores Arrumado</t>
  </si>
  <si>
    <t>Cotas a mais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</si>
</sst>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164" formatCode="_-&quot;R$&quot;\ * #,##0.00_-;\-&quot;R$&quot;\ * #,##0.00_-;_-&quot;R$&quot;\ * &quot;-&quot;??_-;_-@_-"/>
    <numFmt numFmtId="165" formatCode="m/d;@"/>
    <numFmt numFmtId="166" formatCode="0.000"/>
    <numFmt numFmtId="167" formatCode="_-&quot;R$&quot;\ * #,##0.000_-;\-&quot;R$&quot;\ * #,##0.000_-;_-&quot;R$&quot;\ * &quot;-&quot;??_-;_-@_-"/>
    <numFmt numFmtId="168" formatCode="yyyy\-mm\-dd;@"/>
    <numFmt numFmtId="170" formatCode="0.0"/>
  </numFmts>
  <fonts count="18" x14ac:knownFonts="1">
    <font>
      <sz val="11"/>
      <color theme="1"/>
      <name val="Aptos Narrow"/>
      <family val="2"/>
      <scheme val="minor"/>
    </font>
    <font>
      <sz val="10"/>
      <color theme="1"/>
      <name val="Aptos Narrow"/>
      <family val="2"/>
      <scheme val="minor"/>
    </font>
    <font>
      <sz val="11"/>
      <name val="Aptos Narrow"/>
      <family val="2"/>
      <scheme val="minor"/>
    </font>
    <font>
      <sz val="10"/>
      <name val="Aptos Narrow"/>
      <family val="2"/>
      <scheme val="minor"/>
    </font>
    <font>
      <b/>
      <sz val="10"/>
      <name val="Helvetica"/>
      <family val="2"/>
    </font>
    <font>
      <sz val="10"/>
      <name val="Helvetica"/>
      <family val="2"/>
    </font>
    <font>
      <b/>
      <sz val="10"/>
      <color rgb="FF4B4B4B"/>
      <name val="Aptos Narrow"/>
      <family val="2"/>
      <scheme val="minor"/>
    </font>
    <font>
      <sz val="10"/>
      <color rgb="FF4B4B4B"/>
      <name val="Aptos Narrow"/>
      <family val="2"/>
      <scheme val="minor"/>
    </font>
    <font>
      <b/>
      <sz val="10"/>
      <color rgb="FF4B4B4B"/>
      <name val="Helvetica"/>
      <family val="2"/>
    </font>
    <font>
      <sz val="10"/>
      <color rgb="FF4B4B4B"/>
      <name val="Helvetica"/>
      <family val="2"/>
    </font>
    <font>
      <sz val="11"/>
      <color theme="1"/>
      <name val="Aptos Narrow"/>
      <family val="2"/>
      <scheme val="minor"/>
    </font>
    <font>
      <sz val="10"/>
      <color rgb="FF4B4B4B"/>
      <name val="Helvetica"/>
    </font>
    <font>
      <sz val="11"/>
      <name val="Calibri"/>
      <family val="2"/>
    </font>
    <font>
      <sz val="11"/>
      <color rgb="FF000000"/>
      <name val="Aptos Narrow"/>
      <family val="2"/>
      <scheme val="minor"/>
    </font>
    <font>
      <b/>
      <sz val="8"/>
      <color rgb="FF4B4B4B"/>
      <name val="Arial"/>
      <family val="2"/>
    </font>
    <font>
      <sz val="8"/>
      <color rgb="FF4B4B4B"/>
      <name val="Arial"/>
      <family val="2"/>
    </font>
    <font>
      <b/>
      <sz val="10"/>
      <color rgb="FF4B4B4B"/>
      <name val="Arial"/>
      <family val="2"/>
    </font>
    <font>
      <sz val="10"/>
      <color rgb="FF4B4B4B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F5F5F5"/>
        <bgColor indexed="64"/>
      </patternFill>
    </fill>
    <fill>
      <patternFill patternType="solid">
        <fgColor rgb="FFFFFF00"/>
        <bgColor indexed="64"/>
      </patternFill>
    </fill>
  </fills>
  <borders count="8">
    <border>
      <left/>
      <right/>
      <top/>
      <bottom/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rgb="FFCCCCCC"/>
      </left>
      <right/>
      <top style="medium">
        <color rgb="FFCCCCCC"/>
      </top>
      <bottom style="medium">
        <color rgb="FFCCCCCC"/>
      </bottom>
      <diagonal/>
    </border>
    <border>
      <left/>
      <right style="medium">
        <color rgb="FFCCCCCC"/>
      </right>
      <top style="medium">
        <color rgb="FFCCCCCC"/>
      </top>
      <bottom style="medium">
        <color rgb="FFCCCCCC"/>
      </bottom>
      <diagonal/>
    </border>
    <border>
      <left/>
      <right/>
      <top/>
      <bottom style="thin">
        <color indexed="64"/>
      </bottom>
      <diagonal/>
    </border>
    <border>
      <left style="medium">
        <color rgb="FFCCCCCC"/>
      </left>
      <right style="medium">
        <color rgb="FFCCCCCC"/>
      </right>
      <top/>
      <bottom/>
      <diagonal/>
    </border>
    <border>
      <left style="medium">
        <color rgb="FFCCCCCC"/>
      </left>
      <right/>
      <top/>
      <bottom/>
      <diagonal/>
    </border>
  </borders>
  <cellStyleXfs count="2">
    <xf numFmtId="0" fontId="0" fillId="0" borderId="0"/>
    <xf numFmtId="164" fontId="10" fillId="0" borderId="0" applyFont="0" applyFill="0" applyBorder="0" applyAlignment="0" applyProtection="0"/>
  </cellStyleXfs>
  <cellXfs count="58">
    <xf numFmtId="0" fontId="0" fillId="0" borderId="0" xfId="0"/>
    <xf numFmtId="0" fontId="1" fillId="0" borderId="0" xfId="0" applyFont="1"/>
    <xf numFmtId="165" fontId="1" fillId="0" borderId="0" xfId="0" applyNumberFormat="1" applyFont="1"/>
    <xf numFmtId="0" fontId="2" fillId="0" borderId="0" xfId="0" applyFont="1"/>
    <xf numFmtId="0" fontId="3" fillId="0" borderId="0" xfId="0" applyFont="1"/>
    <xf numFmtId="0" fontId="4" fillId="2" borderId="1" xfId="0" applyFont="1" applyFill="1" applyBorder="1" applyAlignment="1">
      <alignment horizontal="center" vertical="center" wrapText="1"/>
    </xf>
    <xf numFmtId="2" fontId="5" fillId="2" borderId="1" xfId="0" applyNumberFormat="1" applyFont="1" applyFill="1" applyBorder="1" applyAlignment="1">
      <alignment horizontal="center" vertical="center" wrapText="1"/>
    </xf>
    <xf numFmtId="0" fontId="6" fillId="2" borderId="1" xfId="0" applyFont="1" applyFill="1" applyBorder="1" applyAlignment="1">
      <alignment horizontal="center" vertical="center" wrapText="1"/>
    </xf>
    <xf numFmtId="165" fontId="6" fillId="2" borderId="1" xfId="0" applyNumberFormat="1" applyFont="1" applyFill="1" applyBorder="1" applyAlignment="1">
      <alignment horizontal="center" vertical="center" wrapText="1"/>
    </xf>
    <xf numFmtId="2" fontId="7" fillId="2" borderId="1" xfId="0" applyNumberFormat="1" applyFont="1" applyFill="1" applyBorder="1" applyAlignment="1">
      <alignment horizontal="center" vertical="center" wrapText="1"/>
    </xf>
    <xf numFmtId="0" fontId="8" fillId="2" borderId="1" xfId="0" applyFont="1" applyFill="1" applyBorder="1" applyAlignment="1">
      <alignment horizontal="center" vertical="center" wrapText="1"/>
    </xf>
    <xf numFmtId="0" fontId="9" fillId="2" borderId="1" xfId="0" applyFont="1" applyFill="1" applyBorder="1" applyAlignment="1">
      <alignment horizontal="center" vertical="center" wrapText="1"/>
    </xf>
    <xf numFmtId="165" fontId="8" fillId="2" borderId="1" xfId="0" applyNumberFormat="1" applyFont="1" applyFill="1" applyBorder="1" applyAlignment="1">
      <alignment horizontal="center" vertical="center" wrapText="1"/>
    </xf>
    <xf numFmtId="2" fontId="9" fillId="2" borderId="1" xfId="0" applyNumberFormat="1" applyFont="1" applyFill="1" applyBorder="1" applyAlignment="1">
      <alignment horizontal="center" vertical="center" wrapText="1"/>
    </xf>
    <xf numFmtId="2" fontId="9" fillId="3" borderId="1" xfId="0" applyNumberFormat="1" applyFont="1" applyFill="1" applyBorder="1" applyAlignment="1">
      <alignment horizontal="center" vertical="center" wrapText="1"/>
    </xf>
    <xf numFmtId="2" fontId="7" fillId="0" borderId="1" xfId="0" applyNumberFormat="1" applyFont="1" applyBorder="1" applyAlignment="1">
      <alignment horizontal="center" vertical="center" wrapText="1"/>
    </xf>
    <xf numFmtId="165" fontId="8" fillId="2" borderId="3" xfId="0" applyNumberFormat="1" applyFont="1" applyFill="1" applyBorder="1" applyAlignment="1">
      <alignment horizontal="center" vertical="center" wrapText="1"/>
    </xf>
    <xf numFmtId="0" fontId="8" fillId="2" borderId="4" xfId="0" applyFont="1" applyFill="1" applyBorder="1" applyAlignment="1">
      <alignment horizontal="center" vertical="center" wrapText="1"/>
    </xf>
    <xf numFmtId="2" fontId="9" fillId="2" borderId="4" xfId="0" applyNumberFormat="1" applyFont="1" applyFill="1" applyBorder="1" applyAlignment="1">
      <alignment horizontal="center" vertical="center" wrapText="1"/>
    </xf>
    <xf numFmtId="0" fontId="8" fillId="2" borderId="2" xfId="0" applyFont="1" applyFill="1" applyBorder="1" applyAlignment="1">
      <alignment horizontal="center" vertical="center" wrapText="1"/>
    </xf>
    <xf numFmtId="0" fontId="0" fillId="0" borderId="2" xfId="0" applyBorder="1"/>
    <xf numFmtId="2" fontId="0" fillId="0" borderId="0" xfId="0" applyNumberFormat="1"/>
    <xf numFmtId="0" fontId="0" fillId="0" borderId="0" xfId="0" applyAlignment="1">
      <alignment horizontal="center"/>
    </xf>
    <xf numFmtId="2" fontId="9" fillId="4" borderId="1" xfId="0" applyNumberFormat="1" applyFont="1" applyFill="1" applyBorder="1" applyAlignment="1">
      <alignment horizontal="center" vertical="center" wrapText="1"/>
    </xf>
    <xf numFmtId="0" fontId="9" fillId="4" borderId="1" xfId="0" applyFont="1" applyFill="1" applyBorder="1" applyAlignment="1">
      <alignment horizontal="center" vertical="center" wrapText="1"/>
    </xf>
    <xf numFmtId="2" fontId="9" fillId="0" borderId="1" xfId="0" applyNumberFormat="1" applyFont="1" applyBorder="1" applyAlignment="1">
      <alignment horizontal="center" vertical="center" wrapText="1"/>
    </xf>
    <xf numFmtId="166" fontId="0" fillId="0" borderId="0" xfId="0" applyNumberFormat="1"/>
    <xf numFmtId="0" fontId="11" fillId="2" borderId="1" xfId="0" applyFont="1" applyFill="1" applyBorder="1" applyAlignment="1">
      <alignment horizontal="center" vertical="center" wrapText="1"/>
    </xf>
    <xf numFmtId="2" fontId="11" fillId="2" borderId="1" xfId="0" applyNumberFormat="1" applyFont="1" applyFill="1" applyBorder="1" applyAlignment="1">
      <alignment horizontal="center" vertical="center" wrapText="1"/>
    </xf>
    <xf numFmtId="164" fontId="0" fillId="0" borderId="0" xfId="1" applyFont="1" applyFill="1" applyBorder="1" applyAlignment="1">
      <alignment horizontal="center" vertical="center"/>
    </xf>
    <xf numFmtId="164" fontId="13" fillId="0" borderId="0" xfId="1" applyFont="1" applyFill="1" applyBorder="1" applyAlignment="1">
      <alignment horizontal="center" vertical="center"/>
    </xf>
    <xf numFmtId="164" fontId="0" fillId="0" borderId="5" xfId="1" applyFont="1" applyFill="1" applyBorder="1" applyAlignment="1">
      <alignment horizontal="center" vertical="center"/>
    </xf>
    <xf numFmtId="164" fontId="12" fillId="0" borderId="0" xfId="1" applyFont="1" applyFill="1" applyAlignment="1">
      <alignment horizontal="center" vertical="center"/>
    </xf>
    <xf numFmtId="164" fontId="0" fillId="0" borderId="0" xfId="0" applyNumberFormat="1"/>
    <xf numFmtId="0" fontId="9" fillId="0" borderId="1" xfId="0" applyFont="1" applyBorder="1" applyAlignment="1">
      <alignment horizontal="center" vertical="center" wrapText="1"/>
    </xf>
    <xf numFmtId="0" fontId="14" fillId="2" borderId="1" xfId="0" applyFont="1" applyFill="1" applyBorder="1" applyAlignment="1">
      <alignment horizontal="center" vertical="center" wrapText="1"/>
    </xf>
    <xf numFmtId="0" fontId="15" fillId="2" borderId="1" xfId="0" applyFont="1" applyFill="1" applyBorder="1" applyAlignment="1">
      <alignment horizontal="center" vertical="center" wrapText="1"/>
    </xf>
    <xf numFmtId="0" fontId="16" fillId="2" borderId="1" xfId="0" applyFont="1" applyFill="1" applyBorder="1" applyAlignment="1">
      <alignment horizontal="center" vertical="center" wrapText="1"/>
    </xf>
    <xf numFmtId="0" fontId="17" fillId="2" borderId="1" xfId="0" applyFont="1" applyFill="1" applyBorder="1" applyAlignment="1">
      <alignment horizontal="center" vertical="center" wrapText="1"/>
    </xf>
    <xf numFmtId="2" fontId="17" fillId="2" borderId="1" xfId="0" applyNumberFormat="1" applyFont="1" applyFill="1" applyBorder="1" applyAlignment="1">
      <alignment horizontal="center" vertical="center" wrapText="1"/>
    </xf>
    <xf numFmtId="2" fontId="9" fillId="0" borderId="4" xfId="0" applyNumberFormat="1" applyFont="1" applyBorder="1" applyAlignment="1">
      <alignment horizontal="center" vertical="center" wrapText="1"/>
    </xf>
    <xf numFmtId="167" fontId="0" fillId="0" borderId="0" xfId="0" applyNumberFormat="1"/>
    <xf numFmtId="166" fontId="9" fillId="2" borderId="4" xfId="0" applyNumberFormat="1" applyFont="1" applyFill="1" applyBorder="1" applyAlignment="1">
      <alignment horizontal="center" vertical="center" wrapText="1"/>
    </xf>
    <xf numFmtId="168" fontId="14" fillId="2" borderId="1" xfId="0" applyNumberFormat="1" applyFont="1" applyFill="1" applyBorder="1" applyAlignment="1">
      <alignment horizontal="center" vertical="center" wrapText="1"/>
    </xf>
    <xf numFmtId="168" fontId="15" fillId="2" borderId="1" xfId="0" applyNumberFormat="1" applyFont="1" applyFill="1" applyBorder="1" applyAlignment="1">
      <alignment horizontal="center" vertical="center" wrapText="1"/>
    </xf>
    <xf numFmtId="168" fontId="1" fillId="0" borderId="0" xfId="0" applyNumberFormat="1" applyFont="1"/>
    <xf numFmtId="16" fontId="0" fillId="0" borderId="0" xfId="0" applyNumberFormat="1"/>
    <xf numFmtId="0" fontId="0" fillId="0" borderId="0" xfId="0" quotePrefix="1" applyAlignment="1">
      <alignment horizontal="center"/>
    </xf>
    <xf numFmtId="17" fontId="0" fillId="0" borderId="0" xfId="0" applyNumberFormat="1"/>
    <xf numFmtId="170" fontId="0" fillId="0" borderId="0" xfId="0" applyNumberFormat="1"/>
    <xf numFmtId="1" fontId="0" fillId="0" borderId="0" xfId="0" applyNumberFormat="1" applyAlignment="1">
      <alignment horizontal="center"/>
    </xf>
    <xf numFmtId="170" fontId="0" fillId="0" borderId="0" xfId="0" applyNumberFormat="1" applyAlignment="1">
      <alignment horizontal="center"/>
    </xf>
    <xf numFmtId="2" fontId="0" fillId="0" borderId="0" xfId="0" applyNumberFormat="1" applyAlignment="1">
      <alignment horizontal="center"/>
    </xf>
    <xf numFmtId="2" fontId="0" fillId="4" borderId="0" xfId="0" applyNumberFormat="1" applyFill="1" applyAlignment="1">
      <alignment horizontal="center"/>
    </xf>
    <xf numFmtId="170" fontId="0" fillId="4" borderId="0" xfId="0" applyNumberFormat="1" applyFill="1" applyAlignment="1">
      <alignment horizontal="center"/>
    </xf>
    <xf numFmtId="1" fontId="0" fillId="4" borderId="0" xfId="0" applyNumberFormat="1" applyFill="1" applyAlignment="1">
      <alignment horizontal="center"/>
    </xf>
    <xf numFmtId="0" fontId="8" fillId="2" borderId="6" xfId="0" applyFont="1" applyFill="1" applyBorder="1" applyAlignment="1">
      <alignment horizontal="center" vertical="center" wrapText="1"/>
    </xf>
    <xf numFmtId="0" fontId="8" fillId="2" borderId="7" xfId="0" applyFont="1" applyFill="1" applyBorder="1" applyAlignment="1">
      <alignment horizontal="center" vertical="center" wrapText="1"/>
    </xf>
  </cellXfs>
  <cellStyles count="2">
    <cellStyle name="Currency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29548B6-124A-4972-B23C-191837D5BBF0}">
  <sheetPr>
    <tabColor theme="9"/>
  </sheetPr>
  <dimension ref="A1:D76"/>
  <sheetViews>
    <sheetView showGridLines="0" workbookViewId="0">
      <selection activeCell="C5" sqref="C5"/>
    </sheetView>
  </sheetViews>
  <sheetFormatPr defaultColWidth="9.140625" defaultRowHeight="15" x14ac:dyDescent="0.25"/>
  <cols>
    <col min="1" max="1" width="23.85546875" style="4" customWidth="1"/>
    <col min="2" max="2" width="21.140625" style="4" customWidth="1"/>
    <col min="3" max="3" width="21.140625" style="3" customWidth="1"/>
    <col min="4" max="5" width="16.140625" style="3" customWidth="1"/>
    <col min="6" max="16384" width="9.140625" style="3"/>
  </cols>
  <sheetData>
    <row r="1" spans="1:4" ht="18.75" customHeight="1" thickBot="1" x14ac:dyDescent="0.3">
      <c r="A1" s="5" t="s">
        <v>0</v>
      </c>
      <c r="B1" s="5" t="s">
        <v>1</v>
      </c>
      <c r="C1" s="10" t="s">
        <v>9</v>
      </c>
      <c r="D1" s="10" t="s">
        <v>8</v>
      </c>
    </row>
    <row r="2" spans="1:4" ht="18.75" customHeight="1" thickBot="1" x14ac:dyDescent="0.3">
      <c r="A2" s="6">
        <v>1</v>
      </c>
      <c r="B2" s="44">
        <v>45930</v>
      </c>
      <c r="C2" s="11">
        <v>38</v>
      </c>
      <c r="D2" s="13">
        <f>C2*A2</f>
        <v>38</v>
      </c>
    </row>
    <row r="3" spans="1:4" ht="18.75" customHeight="1" thickBot="1" x14ac:dyDescent="0.3">
      <c r="A3" s="6">
        <v>1</v>
      </c>
      <c r="B3" s="44">
        <v>45900</v>
      </c>
      <c r="C3" s="11">
        <v>37</v>
      </c>
      <c r="D3" s="13">
        <f t="shared" ref="D3:D63" si="0">C3*A3</f>
        <v>37</v>
      </c>
    </row>
    <row r="4" spans="1:4" ht="18.75" customHeight="1" thickBot="1" x14ac:dyDescent="0.3">
      <c r="A4" s="6">
        <v>1</v>
      </c>
      <c r="B4" s="44">
        <v>45869</v>
      </c>
      <c r="C4" s="11">
        <v>37</v>
      </c>
      <c r="D4" s="13">
        <f t="shared" si="0"/>
        <v>37</v>
      </c>
    </row>
    <row r="5" spans="1:4" ht="18.75" customHeight="1" thickBot="1" x14ac:dyDescent="0.3">
      <c r="A5" s="6">
        <v>1</v>
      </c>
      <c r="B5" s="44">
        <v>45838</v>
      </c>
      <c r="C5" s="11">
        <v>37</v>
      </c>
      <c r="D5" s="13">
        <f t="shared" si="0"/>
        <v>37</v>
      </c>
    </row>
    <row r="6" spans="1:4" ht="18.75" customHeight="1" thickBot="1" x14ac:dyDescent="0.3">
      <c r="A6" s="6">
        <v>1</v>
      </c>
      <c r="B6" s="44">
        <v>45808</v>
      </c>
      <c r="C6" s="11">
        <v>35</v>
      </c>
      <c r="D6" s="13">
        <f t="shared" si="0"/>
        <v>35</v>
      </c>
    </row>
    <row r="7" spans="1:4" ht="18.75" customHeight="1" thickBot="1" x14ac:dyDescent="0.3">
      <c r="A7" s="6">
        <v>1</v>
      </c>
      <c r="B7" s="44">
        <v>45777</v>
      </c>
      <c r="C7" s="11">
        <v>33</v>
      </c>
      <c r="D7" s="13">
        <f t="shared" si="0"/>
        <v>33</v>
      </c>
    </row>
    <row r="8" spans="1:4" ht="18.75" customHeight="1" thickBot="1" x14ac:dyDescent="0.3">
      <c r="A8" s="6">
        <v>1</v>
      </c>
      <c r="B8" s="44">
        <v>45747</v>
      </c>
      <c r="C8" s="11">
        <v>26</v>
      </c>
      <c r="D8" s="13">
        <f t="shared" si="0"/>
        <v>26</v>
      </c>
    </row>
    <row r="9" spans="1:4" ht="18.75" customHeight="1" thickBot="1" x14ac:dyDescent="0.3">
      <c r="A9" s="6">
        <v>1</v>
      </c>
      <c r="B9" s="44">
        <v>45716</v>
      </c>
      <c r="C9" s="11">
        <v>23</v>
      </c>
      <c r="D9" s="13">
        <f t="shared" si="0"/>
        <v>23</v>
      </c>
    </row>
    <row r="10" spans="1:4" ht="18.75" customHeight="1" thickBot="1" x14ac:dyDescent="0.3">
      <c r="A10" s="6">
        <v>1.1000000000000001</v>
      </c>
      <c r="B10" s="44">
        <v>45688</v>
      </c>
      <c r="C10" s="11">
        <v>19</v>
      </c>
      <c r="D10" s="13">
        <f t="shared" si="0"/>
        <v>20.900000000000002</v>
      </c>
    </row>
    <row r="11" spans="1:4" ht="18.75" customHeight="1" thickBot="1" x14ac:dyDescent="0.3">
      <c r="A11" s="6">
        <v>1.1499999999999999</v>
      </c>
      <c r="B11" s="44">
        <v>45657</v>
      </c>
      <c r="C11" s="11">
        <v>14</v>
      </c>
      <c r="D11" s="13">
        <f t="shared" si="0"/>
        <v>16.099999999999998</v>
      </c>
    </row>
    <row r="12" spans="1:4" ht="18.75" customHeight="1" thickBot="1" x14ac:dyDescent="0.3">
      <c r="A12" s="6">
        <v>1.1499999999999999</v>
      </c>
      <c r="B12" s="44">
        <v>45626</v>
      </c>
      <c r="C12" s="11">
        <v>14</v>
      </c>
      <c r="D12" s="13">
        <f t="shared" si="0"/>
        <v>16.099999999999998</v>
      </c>
    </row>
    <row r="13" spans="1:4" ht="18.75" customHeight="1" thickBot="1" x14ac:dyDescent="0.3">
      <c r="A13" s="6">
        <v>1.1399999999999999</v>
      </c>
      <c r="B13" s="44">
        <v>45596</v>
      </c>
      <c r="C13" s="34">
        <v>14</v>
      </c>
      <c r="D13" s="13">
        <f t="shared" si="0"/>
        <v>15.959999999999999</v>
      </c>
    </row>
    <row r="14" spans="1:4" ht="18.75" customHeight="1" thickBot="1" x14ac:dyDescent="0.3">
      <c r="A14" s="6">
        <v>0.997</v>
      </c>
      <c r="B14" s="44">
        <v>45565</v>
      </c>
      <c r="C14" s="34">
        <v>12</v>
      </c>
      <c r="D14" s="13">
        <f t="shared" si="0"/>
        <v>11.964</v>
      </c>
    </row>
    <row r="15" spans="1:4" ht="18.75" customHeight="1" thickBot="1" x14ac:dyDescent="0.3">
      <c r="A15" s="6">
        <v>1.22</v>
      </c>
      <c r="B15" s="44">
        <v>45535</v>
      </c>
      <c r="C15" s="34">
        <v>12</v>
      </c>
      <c r="D15" s="13">
        <f t="shared" si="0"/>
        <v>14.64</v>
      </c>
    </row>
    <row r="16" spans="1:4" ht="18.75" customHeight="1" thickBot="1" x14ac:dyDescent="0.3">
      <c r="A16" s="6">
        <v>1.33</v>
      </c>
      <c r="B16" s="44">
        <v>45504</v>
      </c>
      <c r="C16" s="34">
        <v>12</v>
      </c>
      <c r="D16" s="13">
        <f t="shared" si="0"/>
        <v>15.96</v>
      </c>
    </row>
    <row r="17" spans="1:4" ht="18.75" customHeight="1" thickBot="1" x14ac:dyDescent="0.3">
      <c r="A17" s="6">
        <v>1.35</v>
      </c>
      <c r="B17" s="44">
        <v>45473</v>
      </c>
      <c r="C17" s="11">
        <v>11</v>
      </c>
      <c r="D17" s="13">
        <f t="shared" si="0"/>
        <v>14.850000000000001</v>
      </c>
    </row>
    <row r="18" spans="1:4" ht="18.75" customHeight="1" thickBot="1" x14ac:dyDescent="0.3">
      <c r="A18" s="6">
        <v>1.34</v>
      </c>
      <c r="B18" s="44">
        <v>45443</v>
      </c>
      <c r="C18" s="11">
        <v>11</v>
      </c>
      <c r="D18" s="13">
        <f t="shared" si="0"/>
        <v>14.74</v>
      </c>
    </row>
    <row r="19" spans="1:4" ht="18.75" customHeight="1" thickBot="1" x14ac:dyDescent="0.3">
      <c r="A19" s="6">
        <v>1.33</v>
      </c>
      <c r="B19" s="44">
        <v>45412</v>
      </c>
      <c r="C19" s="11">
        <v>9</v>
      </c>
      <c r="D19" s="13">
        <f t="shared" si="0"/>
        <v>11.97</v>
      </c>
    </row>
    <row r="20" spans="1:4" ht="18.75" customHeight="1" thickBot="1" x14ac:dyDescent="0.3">
      <c r="A20" s="6">
        <v>1.33</v>
      </c>
      <c r="B20" s="44">
        <v>45382</v>
      </c>
      <c r="C20" s="11">
        <v>9</v>
      </c>
      <c r="D20" s="13">
        <f t="shared" si="0"/>
        <v>11.97</v>
      </c>
    </row>
    <row r="21" spans="1:4" ht="18.75" customHeight="1" thickBot="1" x14ac:dyDescent="0.3">
      <c r="A21" s="6">
        <v>1.32</v>
      </c>
      <c r="B21" s="44">
        <v>45351</v>
      </c>
      <c r="C21" s="11">
        <v>9</v>
      </c>
      <c r="D21" s="13">
        <f t="shared" si="0"/>
        <v>11.88</v>
      </c>
    </row>
    <row r="22" spans="1:4" ht="18.75" customHeight="1" thickBot="1" x14ac:dyDescent="0.3">
      <c r="A22" s="6">
        <v>1.32</v>
      </c>
      <c r="B22" s="44">
        <v>45322</v>
      </c>
      <c r="C22" s="11">
        <v>9</v>
      </c>
      <c r="D22" s="13">
        <f t="shared" si="0"/>
        <v>11.88</v>
      </c>
    </row>
    <row r="23" spans="1:4" ht="18.75" customHeight="1" thickBot="1" x14ac:dyDescent="0.3">
      <c r="A23" s="6">
        <v>1.43</v>
      </c>
      <c r="B23" s="44">
        <v>45291</v>
      </c>
      <c r="C23" s="11">
        <v>9</v>
      </c>
      <c r="D23" s="13">
        <f t="shared" si="0"/>
        <v>12.87</v>
      </c>
    </row>
    <row r="24" spans="1:4" ht="18.75" customHeight="1" thickBot="1" x14ac:dyDescent="0.3">
      <c r="A24" s="6">
        <v>1.45</v>
      </c>
      <c r="B24" s="44">
        <v>45260</v>
      </c>
      <c r="C24" s="11">
        <v>7</v>
      </c>
      <c r="D24" s="13">
        <f t="shared" si="0"/>
        <v>10.15</v>
      </c>
    </row>
    <row r="25" spans="1:4" ht="18.75" customHeight="1" thickBot="1" x14ac:dyDescent="0.3">
      <c r="A25" s="6">
        <v>1.43</v>
      </c>
      <c r="B25" s="44">
        <v>45230</v>
      </c>
      <c r="C25" s="11">
        <v>7</v>
      </c>
      <c r="D25" s="13">
        <f t="shared" si="0"/>
        <v>10.01</v>
      </c>
    </row>
    <row r="26" spans="1:4" ht="18.75" customHeight="1" thickBot="1" x14ac:dyDescent="0.3">
      <c r="A26" s="6">
        <v>1.42</v>
      </c>
      <c r="B26" s="44">
        <v>45199</v>
      </c>
      <c r="C26" s="11">
        <v>7</v>
      </c>
      <c r="D26" s="13">
        <f t="shared" si="0"/>
        <v>9.94</v>
      </c>
    </row>
    <row r="27" spans="1:4" ht="18.75" customHeight="1" thickBot="1" x14ac:dyDescent="0.3">
      <c r="A27" s="6">
        <v>1.36</v>
      </c>
      <c r="B27" s="44">
        <v>45169</v>
      </c>
      <c r="C27" s="11">
        <v>6</v>
      </c>
      <c r="D27" s="13">
        <f t="shared" si="0"/>
        <v>8.16</v>
      </c>
    </row>
    <row r="28" spans="1:4" ht="18.75" customHeight="1" thickBot="1" x14ac:dyDescent="0.3">
      <c r="A28" s="6">
        <v>1.36</v>
      </c>
      <c r="B28" s="44">
        <v>45138</v>
      </c>
      <c r="C28" s="11">
        <v>6</v>
      </c>
      <c r="D28" s="13">
        <f t="shared" si="0"/>
        <v>8.16</v>
      </c>
    </row>
    <row r="29" spans="1:4" ht="18.75" customHeight="1" thickBot="1" x14ac:dyDescent="0.3">
      <c r="A29" s="6">
        <v>1.36</v>
      </c>
      <c r="B29" s="44">
        <v>45107</v>
      </c>
      <c r="C29" s="11">
        <v>6</v>
      </c>
      <c r="D29" s="13">
        <f t="shared" si="0"/>
        <v>8.16</v>
      </c>
    </row>
    <row r="30" spans="1:4" ht="18.75" customHeight="1" thickBot="1" x14ac:dyDescent="0.3">
      <c r="A30" s="6">
        <v>1.35</v>
      </c>
      <c r="B30" s="44">
        <v>45077</v>
      </c>
      <c r="C30" s="11">
        <v>5</v>
      </c>
      <c r="D30" s="13">
        <f t="shared" si="0"/>
        <v>6.75</v>
      </c>
    </row>
    <row r="31" spans="1:4" ht="18.75" customHeight="1" thickBot="1" x14ac:dyDescent="0.3">
      <c r="A31" s="6">
        <v>1.34</v>
      </c>
      <c r="B31" s="44">
        <v>45046</v>
      </c>
      <c r="C31" s="11">
        <v>5</v>
      </c>
      <c r="D31" s="13">
        <f t="shared" si="0"/>
        <v>6.7</v>
      </c>
    </row>
    <row r="32" spans="1:4" ht="18.75" customHeight="1" thickBot="1" x14ac:dyDescent="0.3">
      <c r="A32" s="6">
        <v>1.31</v>
      </c>
      <c r="B32" s="44">
        <v>45016</v>
      </c>
      <c r="C32" s="11">
        <v>5</v>
      </c>
      <c r="D32" s="13">
        <f t="shared" si="0"/>
        <v>6.5500000000000007</v>
      </c>
    </row>
    <row r="33" spans="1:4" ht="18.75" customHeight="1" thickBot="1" x14ac:dyDescent="0.3">
      <c r="A33" s="6">
        <v>1.3</v>
      </c>
      <c r="B33" s="44">
        <v>44985</v>
      </c>
      <c r="C33" s="11">
        <v>5</v>
      </c>
      <c r="D33" s="13">
        <f t="shared" si="0"/>
        <v>6.5</v>
      </c>
    </row>
    <row r="34" spans="1:4" ht="18.75" customHeight="1" thickBot="1" x14ac:dyDescent="0.3">
      <c r="A34" s="6">
        <v>1.3</v>
      </c>
      <c r="B34" s="44">
        <v>44957</v>
      </c>
      <c r="C34" s="11">
        <v>4</v>
      </c>
      <c r="D34" s="13">
        <f t="shared" si="0"/>
        <v>5.2</v>
      </c>
    </row>
    <row r="35" spans="1:4" ht="18.75" customHeight="1" thickBot="1" x14ac:dyDescent="0.3">
      <c r="A35" s="6">
        <v>1.3</v>
      </c>
      <c r="B35" s="44">
        <v>44926</v>
      </c>
      <c r="C35" s="11">
        <v>4</v>
      </c>
      <c r="D35" s="13">
        <f t="shared" si="0"/>
        <v>5.2</v>
      </c>
    </row>
    <row r="36" spans="1:4" ht="18.75" customHeight="1" thickBot="1" x14ac:dyDescent="0.3">
      <c r="A36" s="6">
        <v>1.55</v>
      </c>
      <c r="B36" s="44">
        <v>44895</v>
      </c>
      <c r="C36" s="11">
        <v>4</v>
      </c>
      <c r="D36" s="13">
        <f t="shared" si="0"/>
        <v>6.2</v>
      </c>
    </row>
    <row r="37" spans="1:4" ht="18.75" customHeight="1" thickBot="1" x14ac:dyDescent="0.3">
      <c r="A37" s="6">
        <v>1.59</v>
      </c>
      <c r="B37" s="44">
        <v>44865</v>
      </c>
      <c r="C37" s="11">
        <v>4</v>
      </c>
      <c r="D37" s="13">
        <f t="shared" si="0"/>
        <v>6.36</v>
      </c>
    </row>
    <row r="38" spans="1:4" ht="18.75" customHeight="1" thickBot="1" x14ac:dyDescent="0.3">
      <c r="A38" s="6">
        <v>1.59</v>
      </c>
      <c r="B38" s="44">
        <v>44834</v>
      </c>
      <c r="C38" s="11">
        <v>4</v>
      </c>
      <c r="D38" s="13">
        <f t="shared" si="0"/>
        <v>6.36</v>
      </c>
    </row>
    <row r="39" spans="1:4" ht="18.75" customHeight="1" thickBot="1" x14ac:dyDescent="0.3">
      <c r="A39" s="6">
        <v>1.58</v>
      </c>
      <c r="B39" s="44">
        <v>44804</v>
      </c>
      <c r="C39" s="11">
        <v>4</v>
      </c>
      <c r="D39" s="13">
        <f t="shared" si="0"/>
        <v>6.32</v>
      </c>
    </row>
    <row r="40" spans="1:4" ht="18.75" customHeight="1" thickBot="1" x14ac:dyDescent="0.3">
      <c r="A40" s="6">
        <v>1.57</v>
      </c>
      <c r="B40" s="44">
        <v>44773</v>
      </c>
      <c r="C40" s="11">
        <v>4</v>
      </c>
      <c r="D40" s="13">
        <f t="shared" si="0"/>
        <v>6.28</v>
      </c>
    </row>
    <row r="41" spans="1:4" ht="18.75" customHeight="1" thickBot="1" x14ac:dyDescent="0.3">
      <c r="A41" s="6">
        <v>1.53</v>
      </c>
      <c r="B41" s="44">
        <v>44742</v>
      </c>
      <c r="C41" s="11">
        <v>4</v>
      </c>
      <c r="D41" s="13">
        <f t="shared" si="0"/>
        <v>6.12</v>
      </c>
    </row>
    <row r="42" spans="1:4" ht="18.75" customHeight="1" thickBot="1" x14ac:dyDescent="0.3">
      <c r="A42" s="6">
        <v>1.27</v>
      </c>
      <c r="B42" s="44">
        <v>44712</v>
      </c>
      <c r="C42" s="11">
        <v>4</v>
      </c>
      <c r="D42" s="13">
        <f t="shared" si="0"/>
        <v>5.08</v>
      </c>
    </row>
    <row r="43" spans="1:4" ht="18.75" customHeight="1" thickBot="1" x14ac:dyDescent="0.3">
      <c r="A43" s="6">
        <v>1.27</v>
      </c>
      <c r="B43" s="44">
        <v>44681</v>
      </c>
      <c r="C43" s="11">
        <v>4</v>
      </c>
      <c r="D43" s="13">
        <f t="shared" si="0"/>
        <v>5.08</v>
      </c>
    </row>
    <row r="44" spans="1:4" ht="18.75" customHeight="1" thickBot="1" x14ac:dyDescent="0.3">
      <c r="A44" s="6">
        <v>1.22</v>
      </c>
      <c r="B44" s="44">
        <v>44651</v>
      </c>
      <c r="C44" s="11">
        <v>4</v>
      </c>
      <c r="D44" s="13">
        <f t="shared" si="0"/>
        <v>4.88</v>
      </c>
    </row>
    <row r="45" spans="1:4" ht="18.75" customHeight="1" thickBot="1" x14ac:dyDescent="0.3">
      <c r="A45" s="6">
        <v>1.1599999999999999</v>
      </c>
      <c r="B45" s="44">
        <v>44620</v>
      </c>
      <c r="C45" s="11">
        <v>4</v>
      </c>
      <c r="D45" s="13">
        <f t="shared" si="0"/>
        <v>4.6399999999999997</v>
      </c>
    </row>
    <row r="46" spans="1:4" ht="18.75" customHeight="1" thickBot="1" x14ac:dyDescent="0.3">
      <c r="A46" s="6">
        <v>1.23</v>
      </c>
      <c r="B46" s="44">
        <v>44592</v>
      </c>
      <c r="C46" s="11">
        <v>5</v>
      </c>
      <c r="D46" s="13">
        <f t="shared" si="0"/>
        <v>6.15</v>
      </c>
    </row>
    <row r="47" spans="1:4" ht="18.75" customHeight="1" thickBot="1" x14ac:dyDescent="0.3">
      <c r="A47" s="6">
        <v>1.22</v>
      </c>
      <c r="B47" s="44">
        <v>44561</v>
      </c>
      <c r="C47" s="11">
        <v>4</v>
      </c>
      <c r="D47" s="13">
        <f t="shared" si="0"/>
        <v>4.88</v>
      </c>
    </row>
    <row r="48" spans="1:4" ht="18.75" customHeight="1" thickBot="1" x14ac:dyDescent="0.3">
      <c r="A48" s="6">
        <v>1.2</v>
      </c>
      <c r="B48" s="44">
        <v>44530</v>
      </c>
      <c r="C48" s="11">
        <v>4</v>
      </c>
      <c r="D48" s="13">
        <f t="shared" si="0"/>
        <v>4.8</v>
      </c>
    </row>
    <row r="49" spans="1:4" ht="18.75" customHeight="1" thickBot="1" x14ac:dyDescent="0.3">
      <c r="A49" s="6">
        <v>1.1100000000000001</v>
      </c>
      <c r="B49" s="44">
        <v>44500</v>
      </c>
      <c r="C49" s="11">
        <v>4</v>
      </c>
      <c r="D49" s="13">
        <f t="shared" si="0"/>
        <v>4.4400000000000004</v>
      </c>
    </row>
    <row r="50" spans="1:4" ht="18.75" customHeight="1" thickBot="1" x14ac:dyDescent="0.3">
      <c r="A50" s="6">
        <v>1.1000000000000001</v>
      </c>
      <c r="B50" s="44">
        <v>44469</v>
      </c>
      <c r="C50" s="11">
        <v>4</v>
      </c>
      <c r="D50" s="13">
        <f t="shared" si="0"/>
        <v>4.4000000000000004</v>
      </c>
    </row>
    <row r="51" spans="1:4" ht="18.75" customHeight="1" thickBot="1" x14ac:dyDescent="0.3">
      <c r="A51" s="6">
        <v>1.08</v>
      </c>
      <c r="B51" s="44">
        <v>44439</v>
      </c>
      <c r="C51" s="11">
        <v>4</v>
      </c>
      <c r="D51" s="13">
        <f t="shared" si="0"/>
        <v>4.32</v>
      </c>
    </row>
    <row r="52" spans="1:4" ht="18.75" customHeight="1" thickBot="1" x14ac:dyDescent="0.3">
      <c r="A52" s="6">
        <v>1.1100000000000001</v>
      </c>
      <c r="B52" s="44">
        <v>44408</v>
      </c>
      <c r="C52" s="11">
        <v>4</v>
      </c>
      <c r="D52" s="13">
        <f t="shared" si="0"/>
        <v>4.4400000000000004</v>
      </c>
    </row>
    <row r="53" spans="1:4" ht="18.75" customHeight="1" thickBot="1" x14ac:dyDescent="0.3">
      <c r="A53" s="6">
        <v>1.1599999999999999</v>
      </c>
      <c r="B53" s="44">
        <v>44377</v>
      </c>
      <c r="C53" s="11">
        <v>4</v>
      </c>
      <c r="D53" s="13">
        <f t="shared" si="0"/>
        <v>4.6399999999999997</v>
      </c>
    </row>
    <row r="54" spans="1:4" ht="18.75" customHeight="1" thickBot="1" x14ac:dyDescent="0.3">
      <c r="A54" s="6">
        <v>1.26</v>
      </c>
      <c r="B54" s="44">
        <v>44347</v>
      </c>
      <c r="C54" s="11">
        <v>4</v>
      </c>
      <c r="D54" s="13">
        <f t="shared" si="0"/>
        <v>5.04</v>
      </c>
    </row>
    <row r="55" spans="1:4" ht="18.75" customHeight="1" thickBot="1" x14ac:dyDescent="0.3">
      <c r="A55" s="6">
        <v>0.75600000000000001</v>
      </c>
      <c r="B55" s="44">
        <v>44316</v>
      </c>
      <c r="C55" s="11">
        <v>5</v>
      </c>
      <c r="D55" s="13">
        <f t="shared" si="0"/>
        <v>3.7800000000000002</v>
      </c>
    </row>
    <row r="56" spans="1:4" ht="18.75" customHeight="1" thickBot="1" x14ac:dyDescent="0.3">
      <c r="A56" s="6">
        <v>1.1499999999999999</v>
      </c>
      <c r="B56" s="44">
        <v>44286</v>
      </c>
      <c r="C56" s="11">
        <v>4</v>
      </c>
      <c r="D56" s="13">
        <f t="shared" si="0"/>
        <v>4.5999999999999996</v>
      </c>
    </row>
    <row r="57" spans="1:4" ht="18.75" customHeight="1" thickBot="1" x14ac:dyDescent="0.3">
      <c r="A57" s="6">
        <v>1.2</v>
      </c>
      <c r="B57" s="44">
        <v>44255</v>
      </c>
      <c r="C57" s="11">
        <v>3</v>
      </c>
      <c r="D57" s="13">
        <f t="shared" si="0"/>
        <v>3.5999999999999996</v>
      </c>
    </row>
    <row r="58" spans="1:4" ht="18.75" customHeight="1" thickBot="1" x14ac:dyDescent="0.3">
      <c r="A58" s="6">
        <v>1.36</v>
      </c>
      <c r="B58" s="44">
        <v>44227</v>
      </c>
      <c r="C58" s="11">
        <v>2</v>
      </c>
      <c r="D58" s="13">
        <f t="shared" si="0"/>
        <v>2.72</v>
      </c>
    </row>
    <row r="59" spans="1:4" ht="18.75" customHeight="1" thickBot="1" x14ac:dyDescent="0.3">
      <c r="A59" s="6">
        <v>1.1200000000000001</v>
      </c>
      <c r="B59" s="44">
        <v>44196</v>
      </c>
      <c r="C59" s="11">
        <v>2</v>
      </c>
      <c r="D59" s="13">
        <f t="shared" si="0"/>
        <v>2.2400000000000002</v>
      </c>
    </row>
    <row r="60" spans="1:4" ht="18.75" customHeight="1" thickBot="1" x14ac:dyDescent="0.3">
      <c r="A60" s="6">
        <v>1.1000000000000001</v>
      </c>
      <c r="B60" s="44">
        <v>44165</v>
      </c>
      <c r="C60" s="11">
        <v>2</v>
      </c>
      <c r="D60" s="13">
        <f t="shared" si="0"/>
        <v>2.2000000000000002</v>
      </c>
    </row>
    <row r="61" spans="1:4" ht="18.75" customHeight="1" thickBot="1" x14ac:dyDescent="0.3">
      <c r="A61" s="6">
        <v>1</v>
      </c>
      <c r="B61" s="44">
        <v>44135</v>
      </c>
      <c r="C61" s="11">
        <v>2</v>
      </c>
      <c r="D61" s="13">
        <f t="shared" si="0"/>
        <v>2</v>
      </c>
    </row>
    <row r="62" spans="1:4" ht="18.75" customHeight="1" thickBot="1" x14ac:dyDescent="0.3">
      <c r="A62" s="6">
        <v>1.0900000000000001</v>
      </c>
      <c r="B62" s="44">
        <v>44104</v>
      </c>
      <c r="C62" s="11">
        <v>1</v>
      </c>
      <c r="D62" s="13">
        <f t="shared" si="0"/>
        <v>1.0900000000000001</v>
      </c>
    </row>
    <row r="63" spans="1:4" ht="18.75" customHeight="1" thickBot="1" x14ac:dyDescent="0.3">
      <c r="A63" s="6">
        <v>1.1499999999999999</v>
      </c>
      <c r="B63" s="44">
        <v>44074</v>
      </c>
      <c r="C63" s="11">
        <v>1</v>
      </c>
      <c r="D63" s="13">
        <f t="shared" si="0"/>
        <v>1.1499999999999999</v>
      </c>
    </row>
    <row r="64" spans="1:4" x14ac:dyDescent="0.25">
      <c r="D64"/>
    </row>
    <row r="65" spans="4:4" x14ac:dyDescent="0.25">
      <c r="D65"/>
    </row>
    <row r="66" spans="4:4" x14ac:dyDescent="0.25">
      <c r="D66"/>
    </row>
    <row r="67" spans="4:4" x14ac:dyDescent="0.25">
      <c r="D67"/>
    </row>
    <row r="68" spans="4:4" x14ac:dyDescent="0.25">
      <c r="D68"/>
    </row>
    <row r="69" spans="4:4" x14ac:dyDescent="0.25">
      <c r="D69"/>
    </row>
    <row r="70" spans="4:4" x14ac:dyDescent="0.25">
      <c r="D70"/>
    </row>
    <row r="71" spans="4:4" x14ac:dyDescent="0.25">
      <c r="D71"/>
    </row>
    <row r="72" spans="4:4" x14ac:dyDescent="0.25">
      <c r="D72"/>
    </row>
    <row r="73" spans="4:4" x14ac:dyDescent="0.25">
      <c r="D73"/>
    </row>
    <row r="74" spans="4:4" x14ac:dyDescent="0.25">
      <c r="D74"/>
    </row>
    <row r="75" spans="4:4" x14ac:dyDescent="0.25">
      <c r="D75"/>
    </row>
    <row r="76" spans="4:4" x14ac:dyDescent="0.25">
      <c r="D76"/>
    </row>
  </sheetData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F3E9D11-441D-4E8E-AF4E-719073722434}">
  <sheetPr>
    <tabColor theme="9"/>
  </sheetPr>
  <dimension ref="A1:D52"/>
  <sheetViews>
    <sheetView showGridLines="0" workbookViewId="0">
      <selection sqref="A1:XFD1"/>
    </sheetView>
  </sheetViews>
  <sheetFormatPr defaultRowHeight="15" x14ac:dyDescent="0.25"/>
  <cols>
    <col min="1" max="1" width="22.7109375" style="1" customWidth="1"/>
    <col min="2" max="2" width="22.7109375" style="2" customWidth="1"/>
    <col min="3" max="3" width="14.85546875" bestFit="1" customWidth="1"/>
  </cols>
  <sheetData>
    <row r="1" spans="1:4" ht="18" customHeight="1" thickBot="1" x14ac:dyDescent="0.3">
      <c r="A1" s="37" t="s">
        <v>0</v>
      </c>
      <c r="B1" s="37" t="s">
        <v>1</v>
      </c>
      <c r="C1" s="19" t="s">
        <v>9</v>
      </c>
      <c r="D1" s="17" t="s">
        <v>8</v>
      </c>
    </row>
    <row r="2" spans="1:4" ht="15.75" thickBot="1" x14ac:dyDescent="0.3">
      <c r="A2" s="39">
        <v>1.06</v>
      </c>
      <c r="B2" s="44">
        <v>45930</v>
      </c>
      <c r="C2" s="20">
        <v>30</v>
      </c>
      <c r="D2" s="18">
        <f>C2*A2</f>
        <v>31.8</v>
      </c>
    </row>
    <row r="3" spans="1:4" ht="15.75" thickBot="1" x14ac:dyDescent="0.3">
      <c r="A3" s="38">
        <v>1.06</v>
      </c>
      <c r="B3" s="44">
        <v>45900</v>
      </c>
      <c r="C3" s="20">
        <v>30</v>
      </c>
      <c r="D3" s="18">
        <f t="shared" ref="D3:D11" si="0">C3*A3</f>
        <v>31.8</v>
      </c>
    </row>
    <row r="4" spans="1:4" ht="15.75" thickBot="1" x14ac:dyDescent="0.3">
      <c r="A4" s="38">
        <v>1.23</v>
      </c>
      <c r="B4" s="44">
        <v>45869</v>
      </c>
      <c r="C4" s="20">
        <v>30</v>
      </c>
      <c r="D4" s="18">
        <f t="shared" si="0"/>
        <v>36.9</v>
      </c>
    </row>
    <row r="5" spans="1:4" ht="15.75" thickBot="1" x14ac:dyDescent="0.3">
      <c r="A5" s="38">
        <v>1.06</v>
      </c>
      <c r="B5" s="44">
        <v>45838</v>
      </c>
      <c r="C5" s="20">
        <v>22</v>
      </c>
      <c r="D5" s="40">
        <f t="shared" si="0"/>
        <v>23.32</v>
      </c>
    </row>
    <row r="6" spans="1:4" ht="15.75" thickBot="1" x14ac:dyDescent="0.3">
      <c r="A6" s="38">
        <v>1.06</v>
      </c>
      <c r="B6" s="44">
        <v>45808</v>
      </c>
      <c r="C6" s="20">
        <v>22</v>
      </c>
      <c r="D6" s="40">
        <f t="shared" si="0"/>
        <v>23.32</v>
      </c>
    </row>
    <row r="7" spans="1:4" ht="15.75" thickBot="1" x14ac:dyDescent="0.3">
      <c r="A7" s="38">
        <v>1</v>
      </c>
      <c r="B7" s="44">
        <v>45777</v>
      </c>
      <c r="C7" s="20">
        <v>20</v>
      </c>
      <c r="D7" s="40">
        <f t="shared" si="0"/>
        <v>20</v>
      </c>
    </row>
    <row r="8" spans="1:4" ht="15.75" thickBot="1" x14ac:dyDescent="0.3">
      <c r="A8" s="38">
        <v>1.06</v>
      </c>
      <c r="B8" s="44">
        <v>45747</v>
      </c>
      <c r="C8" s="20">
        <v>16</v>
      </c>
      <c r="D8" s="40">
        <f t="shared" si="0"/>
        <v>16.96</v>
      </c>
    </row>
    <row r="9" spans="1:4" ht="15.75" thickBot="1" x14ac:dyDescent="0.3">
      <c r="A9" s="38">
        <v>1.06</v>
      </c>
      <c r="B9" s="44">
        <v>45716</v>
      </c>
      <c r="C9" s="20">
        <v>16</v>
      </c>
      <c r="D9" s="40">
        <f t="shared" si="0"/>
        <v>16.96</v>
      </c>
    </row>
    <row r="10" spans="1:4" ht="15.75" thickBot="1" x14ac:dyDescent="0.3">
      <c r="A10" s="38">
        <v>1.36</v>
      </c>
      <c r="B10" s="44">
        <v>45688</v>
      </c>
      <c r="C10" s="20">
        <v>13</v>
      </c>
      <c r="D10" s="40">
        <f t="shared" si="0"/>
        <v>17.68</v>
      </c>
    </row>
    <row r="11" spans="1:4" ht="15.75" thickBot="1" x14ac:dyDescent="0.3">
      <c r="A11" s="38">
        <v>1.05</v>
      </c>
      <c r="B11" s="44">
        <v>45657</v>
      </c>
      <c r="C11" s="20">
        <v>13</v>
      </c>
      <c r="D11" s="40">
        <f t="shared" si="0"/>
        <v>13.65</v>
      </c>
    </row>
    <row r="12" spans="1:4" ht="15.75" thickBot="1" x14ac:dyDescent="0.3">
      <c r="A12" s="38">
        <v>1.05</v>
      </c>
      <c r="B12" s="44">
        <v>45626</v>
      </c>
      <c r="C12" s="20">
        <v>13</v>
      </c>
      <c r="D12" s="40">
        <f t="shared" ref="D12:D52" si="1">C12*A12</f>
        <v>13.65</v>
      </c>
    </row>
    <row r="13" spans="1:4" ht="15.75" thickBot="1" x14ac:dyDescent="0.3">
      <c r="A13" s="38">
        <v>1</v>
      </c>
      <c r="B13" s="44">
        <v>45596</v>
      </c>
      <c r="C13" s="20">
        <v>13</v>
      </c>
      <c r="D13" s="40">
        <f t="shared" si="1"/>
        <v>13</v>
      </c>
    </row>
    <row r="14" spans="1:4" ht="15.75" thickBot="1" x14ac:dyDescent="0.3">
      <c r="A14" s="38">
        <v>1</v>
      </c>
      <c r="B14" s="44">
        <v>45565</v>
      </c>
      <c r="C14" s="20">
        <v>11</v>
      </c>
      <c r="D14" s="40">
        <f t="shared" si="1"/>
        <v>11</v>
      </c>
    </row>
    <row r="15" spans="1:4" ht="15.75" thickBot="1" x14ac:dyDescent="0.3">
      <c r="A15" s="38">
        <v>1</v>
      </c>
      <c r="B15" s="44">
        <v>45535</v>
      </c>
      <c r="C15" s="20">
        <v>11</v>
      </c>
      <c r="D15" s="40">
        <f t="shared" si="1"/>
        <v>11</v>
      </c>
    </row>
    <row r="16" spans="1:4" ht="15.75" thickBot="1" x14ac:dyDescent="0.3">
      <c r="A16" s="38">
        <v>1.01</v>
      </c>
      <c r="B16" s="44">
        <v>45504</v>
      </c>
      <c r="C16" s="20">
        <v>11</v>
      </c>
      <c r="D16" s="40">
        <f t="shared" si="1"/>
        <v>11.11</v>
      </c>
    </row>
    <row r="17" spans="1:4" ht="15.75" thickBot="1" x14ac:dyDescent="0.3">
      <c r="A17" s="38">
        <v>1</v>
      </c>
      <c r="B17" s="44">
        <v>45473</v>
      </c>
      <c r="C17" s="20">
        <v>11</v>
      </c>
      <c r="D17" s="40">
        <f t="shared" si="1"/>
        <v>11</v>
      </c>
    </row>
    <row r="18" spans="1:4" ht="15.75" thickBot="1" x14ac:dyDescent="0.3">
      <c r="A18" s="38">
        <v>1</v>
      </c>
      <c r="B18" s="44">
        <v>45443</v>
      </c>
      <c r="C18" s="20">
        <v>11</v>
      </c>
      <c r="D18" s="40">
        <f t="shared" si="1"/>
        <v>11</v>
      </c>
    </row>
    <row r="19" spans="1:4" ht="15.75" thickBot="1" x14ac:dyDescent="0.3">
      <c r="A19" s="38">
        <v>1</v>
      </c>
      <c r="B19" s="44">
        <v>45412</v>
      </c>
      <c r="C19" s="20">
        <v>11</v>
      </c>
      <c r="D19" s="40">
        <f t="shared" si="1"/>
        <v>11</v>
      </c>
    </row>
    <row r="20" spans="1:4" ht="15.75" thickBot="1" x14ac:dyDescent="0.3">
      <c r="A20" s="38">
        <v>0.99</v>
      </c>
      <c r="B20" s="44">
        <v>45382</v>
      </c>
      <c r="C20" s="20">
        <v>11</v>
      </c>
      <c r="D20" s="40">
        <f t="shared" si="1"/>
        <v>10.89</v>
      </c>
    </row>
    <row r="21" spans="1:4" ht="15.75" thickBot="1" x14ac:dyDescent="0.3">
      <c r="A21" s="38">
        <v>0.98</v>
      </c>
      <c r="B21" s="44">
        <v>45351</v>
      </c>
      <c r="C21" s="20">
        <v>11</v>
      </c>
      <c r="D21" s="40">
        <f t="shared" si="1"/>
        <v>10.78</v>
      </c>
    </row>
    <row r="22" spans="1:4" ht="15.75" thickBot="1" x14ac:dyDescent="0.3">
      <c r="A22" s="38">
        <v>1.04</v>
      </c>
      <c r="B22" s="44">
        <v>45322</v>
      </c>
      <c r="C22" s="20">
        <v>8</v>
      </c>
      <c r="D22" s="40">
        <f t="shared" si="1"/>
        <v>8.32</v>
      </c>
    </row>
    <row r="23" spans="1:4" ht="15.75" thickBot="1" x14ac:dyDescent="0.3">
      <c r="A23" s="38">
        <v>1.05</v>
      </c>
      <c r="B23" s="44">
        <v>45291</v>
      </c>
      <c r="C23" s="20">
        <v>8</v>
      </c>
      <c r="D23" s="40">
        <f t="shared" si="1"/>
        <v>8.4</v>
      </c>
    </row>
    <row r="24" spans="1:4" ht="15.75" thickBot="1" x14ac:dyDescent="0.3">
      <c r="A24" s="38">
        <v>1.05</v>
      </c>
      <c r="B24" s="44">
        <v>45260</v>
      </c>
      <c r="C24" s="20">
        <v>6</v>
      </c>
      <c r="D24" s="40">
        <f t="shared" si="1"/>
        <v>6.3000000000000007</v>
      </c>
    </row>
    <row r="25" spans="1:4" ht="15.75" thickBot="1" x14ac:dyDescent="0.3">
      <c r="A25" s="38">
        <v>1.1000000000000001</v>
      </c>
      <c r="B25" s="44">
        <v>45230</v>
      </c>
      <c r="C25" s="20">
        <v>6</v>
      </c>
      <c r="D25" s="40">
        <f t="shared" si="1"/>
        <v>6.6000000000000005</v>
      </c>
    </row>
    <row r="26" spans="1:4" ht="15.75" thickBot="1" x14ac:dyDescent="0.3">
      <c r="A26" s="38">
        <v>1.1499999999999999</v>
      </c>
      <c r="B26" s="44">
        <v>45199</v>
      </c>
      <c r="C26" s="20">
        <v>6</v>
      </c>
      <c r="D26" s="40">
        <f t="shared" si="1"/>
        <v>6.8999999999999995</v>
      </c>
    </row>
    <row r="27" spans="1:4" ht="15.75" thickBot="1" x14ac:dyDescent="0.3">
      <c r="A27" s="38">
        <v>1.25</v>
      </c>
      <c r="B27" s="44">
        <v>45169</v>
      </c>
      <c r="C27" s="20">
        <v>6</v>
      </c>
      <c r="D27" s="40">
        <f t="shared" si="1"/>
        <v>7.5</v>
      </c>
    </row>
    <row r="28" spans="1:4" ht="15.75" thickBot="1" x14ac:dyDescent="0.3">
      <c r="A28" s="38">
        <v>1.33</v>
      </c>
      <c r="B28" s="44">
        <v>45138</v>
      </c>
      <c r="C28" s="20">
        <v>6</v>
      </c>
      <c r="D28" s="40">
        <f t="shared" si="1"/>
        <v>7.98</v>
      </c>
    </row>
    <row r="29" spans="1:4" ht="15.75" thickBot="1" x14ac:dyDescent="0.3">
      <c r="A29" s="38">
        <v>1.35</v>
      </c>
      <c r="B29" s="44">
        <v>45107</v>
      </c>
      <c r="C29" s="20">
        <v>6</v>
      </c>
      <c r="D29" s="40">
        <f t="shared" si="1"/>
        <v>8.1000000000000014</v>
      </c>
    </row>
    <row r="30" spans="1:4" ht="15.75" thickBot="1" x14ac:dyDescent="0.3">
      <c r="A30" s="38">
        <v>1.4</v>
      </c>
      <c r="B30" s="44">
        <v>45077</v>
      </c>
      <c r="C30" s="20">
        <v>6</v>
      </c>
      <c r="D30" s="40">
        <f t="shared" si="1"/>
        <v>8.3999999999999986</v>
      </c>
    </row>
    <row r="31" spans="1:4" ht="15.75" thickBot="1" x14ac:dyDescent="0.3">
      <c r="A31" s="38">
        <v>1.4</v>
      </c>
      <c r="B31" s="44">
        <v>45046</v>
      </c>
      <c r="C31" s="20">
        <v>5</v>
      </c>
      <c r="D31" s="40">
        <f t="shared" si="1"/>
        <v>7</v>
      </c>
    </row>
    <row r="32" spans="1:4" ht="15.75" thickBot="1" x14ac:dyDescent="0.3">
      <c r="A32" s="38">
        <v>1.4</v>
      </c>
      <c r="B32" s="44">
        <v>45016</v>
      </c>
      <c r="C32" s="20">
        <v>5</v>
      </c>
      <c r="D32" s="40">
        <f t="shared" si="1"/>
        <v>7</v>
      </c>
    </row>
    <row r="33" spans="1:4" ht="15.75" thickBot="1" x14ac:dyDescent="0.3">
      <c r="A33" s="38">
        <v>1.4</v>
      </c>
      <c r="B33" s="44">
        <v>44985</v>
      </c>
      <c r="C33" s="20">
        <v>5</v>
      </c>
      <c r="D33" s="40">
        <f t="shared" si="1"/>
        <v>7</v>
      </c>
    </row>
    <row r="34" spans="1:4" ht="15.75" thickBot="1" x14ac:dyDescent="0.3">
      <c r="A34" s="38">
        <v>1.41</v>
      </c>
      <c r="B34" s="44">
        <v>44957</v>
      </c>
      <c r="C34" s="20">
        <v>5</v>
      </c>
      <c r="D34" s="40">
        <f t="shared" si="1"/>
        <v>7.05</v>
      </c>
    </row>
    <row r="35" spans="1:4" ht="15.75" thickBot="1" x14ac:dyDescent="0.3">
      <c r="A35" s="38">
        <v>1.4</v>
      </c>
      <c r="B35" s="44">
        <v>44926</v>
      </c>
      <c r="C35" s="20">
        <v>5</v>
      </c>
      <c r="D35" s="40">
        <f t="shared" si="1"/>
        <v>7</v>
      </c>
    </row>
    <row r="36" spans="1:4" ht="15.75" thickBot="1" x14ac:dyDescent="0.3">
      <c r="A36" s="38">
        <v>1.5</v>
      </c>
      <c r="B36" s="44">
        <v>44895</v>
      </c>
      <c r="C36" s="20">
        <v>5</v>
      </c>
      <c r="D36" s="40">
        <f t="shared" si="1"/>
        <v>7.5</v>
      </c>
    </row>
    <row r="37" spans="1:4" ht="15.75" thickBot="1" x14ac:dyDescent="0.3">
      <c r="A37" s="38">
        <v>1.55</v>
      </c>
      <c r="B37" s="44">
        <v>44865</v>
      </c>
      <c r="C37" s="20">
        <v>5</v>
      </c>
      <c r="D37" s="40">
        <f t="shared" si="1"/>
        <v>7.75</v>
      </c>
    </row>
    <row r="38" spans="1:4" ht="15.75" thickBot="1" x14ac:dyDescent="0.3">
      <c r="A38" s="38">
        <v>1.65</v>
      </c>
      <c r="B38" s="44">
        <v>44834</v>
      </c>
      <c r="C38" s="20">
        <v>4</v>
      </c>
      <c r="D38" s="40">
        <f t="shared" si="1"/>
        <v>6.6</v>
      </c>
    </row>
    <row r="39" spans="1:4" ht="15.75" thickBot="1" x14ac:dyDescent="0.3">
      <c r="A39" s="38">
        <v>1.77</v>
      </c>
      <c r="B39" s="44">
        <v>44804</v>
      </c>
      <c r="C39" s="20">
        <v>4</v>
      </c>
      <c r="D39" s="40">
        <f t="shared" si="1"/>
        <v>7.08</v>
      </c>
    </row>
    <row r="40" spans="1:4" ht="15.75" thickBot="1" x14ac:dyDescent="0.3">
      <c r="A40" s="38">
        <v>2.04</v>
      </c>
      <c r="B40" s="44">
        <v>44773</v>
      </c>
      <c r="C40" s="20">
        <v>4</v>
      </c>
      <c r="D40" s="40">
        <f t="shared" si="1"/>
        <v>8.16</v>
      </c>
    </row>
    <row r="41" spans="1:4" ht="15.75" thickBot="1" x14ac:dyDescent="0.3">
      <c r="A41" s="38">
        <v>2</v>
      </c>
      <c r="B41" s="44">
        <v>44742</v>
      </c>
      <c r="C41" s="20">
        <v>3</v>
      </c>
      <c r="D41" s="40">
        <f t="shared" si="1"/>
        <v>6</v>
      </c>
    </row>
    <row r="42" spans="1:4" ht="15.75" thickBot="1" x14ac:dyDescent="0.3">
      <c r="A42" s="38">
        <v>1.8</v>
      </c>
      <c r="B42" s="44">
        <v>44712</v>
      </c>
      <c r="C42" s="20">
        <v>3</v>
      </c>
      <c r="D42" s="40">
        <f t="shared" si="1"/>
        <v>5.4</v>
      </c>
    </row>
    <row r="43" spans="1:4" ht="15.75" thickBot="1" x14ac:dyDescent="0.3">
      <c r="A43" s="38">
        <v>1.55</v>
      </c>
      <c r="B43" s="44">
        <v>44681</v>
      </c>
      <c r="C43" s="20">
        <v>3</v>
      </c>
      <c r="D43" s="18">
        <f t="shared" si="1"/>
        <v>4.6500000000000004</v>
      </c>
    </row>
    <row r="44" spans="1:4" ht="15.75" thickBot="1" x14ac:dyDescent="0.3">
      <c r="A44" s="38">
        <v>1.5</v>
      </c>
      <c r="B44" s="44">
        <v>44651</v>
      </c>
      <c r="C44" s="20">
        <v>3</v>
      </c>
      <c r="D44" s="18">
        <f t="shared" si="1"/>
        <v>4.5</v>
      </c>
    </row>
    <row r="45" spans="1:4" ht="15.75" thickBot="1" x14ac:dyDescent="0.3">
      <c r="A45" s="38">
        <v>1.2</v>
      </c>
      <c r="B45" s="44">
        <v>44620</v>
      </c>
      <c r="C45" s="20">
        <v>3</v>
      </c>
      <c r="D45" s="18">
        <f t="shared" si="1"/>
        <v>3.5999999999999996</v>
      </c>
    </row>
    <row r="46" spans="1:4" ht="15.75" thickBot="1" x14ac:dyDescent="0.3">
      <c r="A46" s="38">
        <v>1.4</v>
      </c>
      <c r="B46" s="44">
        <v>44592</v>
      </c>
      <c r="C46" s="20">
        <v>3</v>
      </c>
      <c r="D46" s="18">
        <f t="shared" si="1"/>
        <v>4.1999999999999993</v>
      </c>
    </row>
    <row r="47" spans="1:4" ht="15.75" thickBot="1" x14ac:dyDescent="0.3">
      <c r="A47" s="38">
        <v>1.2</v>
      </c>
      <c r="B47" s="44">
        <v>44561</v>
      </c>
      <c r="C47" s="20">
        <v>3</v>
      </c>
      <c r="D47" s="18">
        <f t="shared" si="1"/>
        <v>3.5999999999999996</v>
      </c>
    </row>
    <row r="48" spans="1:4" ht="15.75" thickBot="1" x14ac:dyDescent="0.3">
      <c r="A48" s="38">
        <v>1.1000000000000001</v>
      </c>
      <c r="B48" s="44">
        <v>44530</v>
      </c>
      <c r="C48" s="20">
        <v>3</v>
      </c>
      <c r="D48" s="18">
        <f t="shared" si="1"/>
        <v>3.3000000000000003</v>
      </c>
    </row>
    <row r="49" spans="1:4" ht="15.75" thickBot="1" x14ac:dyDescent="0.3">
      <c r="A49" s="38">
        <v>1</v>
      </c>
      <c r="B49" s="44">
        <v>44500</v>
      </c>
      <c r="C49" s="20">
        <v>3</v>
      </c>
      <c r="D49" s="18">
        <f t="shared" si="1"/>
        <v>3</v>
      </c>
    </row>
    <row r="50" spans="1:4" ht="15.75" thickBot="1" x14ac:dyDescent="0.3">
      <c r="A50" s="38">
        <v>0.96</v>
      </c>
      <c r="B50" s="44">
        <v>44469</v>
      </c>
      <c r="C50" s="20">
        <v>2</v>
      </c>
      <c r="D50" s="18">
        <f t="shared" si="1"/>
        <v>1.92</v>
      </c>
    </row>
    <row r="51" spans="1:4" ht="15.75" thickBot="1" x14ac:dyDescent="0.3">
      <c r="A51" s="38">
        <v>0.9</v>
      </c>
      <c r="B51" s="44">
        <v>44439</v>
      </c>
      <c r="C51" s="20">
        <v>2</v>
      </c>
      <c r="D51" s="18">
        <f t="shared" si="1"/>
        <v>1.8</v>
      </c>
    </row>
    <row r="52" spans="1:4" ht="15.75" thickBot="1" x14ac:dyDescent="0.3">
      <c r="A52" s="38">
        <v>1.05</v>
      </c>
      <c r="B52" s="44">
        <v>44408</v>
      </c>
      <c r="C52" s="20">
        <v>1</v>
      </c>
      <c r="D52" s="18">
        <f t="shared" si="1"/>
        <v>1.05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64CA43C-2B24-43D1-BCBA-542AD7E811EC}">
  <sheetPr>
    <tabColor theme="9"/>
  </sheetPr>
  <dimension ref="A1:E53"/>
  <sheetViews>
    <sheetView showGridLines="0" workbookViewId="0">
      <selection activeCell="C7" sqref="C7"/>
    </sheetView>
  </sheetViews>
  <sheetFormatPr defaultRowHeight="15" x14ac:dyDescent="0.25"/>
  <cols>
    <col min="1" max="1" width="22.7109375" style="1" customWidth="1"/>
    <col min="2" max="2" width="22.7109375" style="45" customWidth="1"/>
    <col min="3" max="3" width="14.85546875" bestFit="1" customWidth="1"/>
    <col min="5" max="5" width="9.28515625" bestFit="1" customWidth="1"/>
  </cols>
  <sheetData>
    <row r="1" spans="1:5" ht="18" customHeight="1" thickBot="1" x14ac:dyDescent="0.3">
      <c r="A1" s="35" t="s">
        <v>0</v>
      </c>
      <c r="B1" s="43" t="s">
        <v>1</v>
      </c>
      <c r="C1" s="19" t="s">
        <v>9</v>
      </c>
      <c r="D1" s="17" t="s">
        <v>8</v>
      </c>
    </row>
    <row r="2" spans="1:5" ht="15.75" thickBot="1" x14ac:dyDescent="0.3">
      <c r="A2" s="36">
        <v>1</v>
      </c>
      <c r="B2" s="44">
        <v>45930</v>
      </c>
      <c r="C2" s="20">
        <v>37</v>
      </c>
      <c r="D2" s="42">
        <f>C2*A2</f>
        <v>37</v>
      </c>
      <c r="E2" s="41"/>
    </row>
    <row r="3" spans="1:5" ht="15.75" thickBot="1" x14ac:dyDescent="0.3">
      <c r="A3" s="36">
        <v>1</v>
      </c>
      <c r="B3" s="44">
        <v>45900</v>
      </c>
      <c r="C3" s="20">
        <v>37</v>
      </c>
      <c r="D3" s="42">
        <f t="shared" ref="D3:D53" si="0">C3*A3</f>
        <v>37</v>
      </c>
      <c r="E3" s="41"/>
    </row>
    <row r="4" spans="1:5" ht="15.75" thickBot="1" x14ac:dyDescent="0.3">
      <c r="A4" s="36">
        <v>1</v>
      </c>
      <c r="B4" s="44">
        <v>45869</v>
      </c>
      <c r="C4" s="20">
        <v>37</v>
      </c>
      <c r="D4" s="42">
        <f t="shared" si="0"/>
        <v>37</v>
      </c>
      <c r="E4" s="41"/>
    </row>
    <row r="5" spans="1:5" ht="15.75" thickBot="1" x14ac:dyDescent="0.3">
      <c r="A5" s="36">
        <v>0.92</v>
      </c>
      <c r="B5" s="44">
        <v>45838</v>
      </c>
      <c r="C5" s="20">
        <v>25</v>
      </c>
      <c r="D5" s="42">
        <f t="shared" si="0"/>
        <v>23</v>
      </c>
      <c r="E5" s="41"/>
    </row>
    <row r="6" spans="1:5" ht="15.75" thickBot="1" x14ac:dyDescent="0.3">
      <c r="A6" s="36">
        <v>0.95799999999999996</v>
      </c>
      <c r="B6" s="44">
        <v>45808</v>
      </c>
      <c r="C6" s="20">
        <v>25</v>
      </c>
      <c r="D6" s="42">
        <f t="shared" si="0"/>
        <v>23.95</v>
      </c>
      <c r="E6" s="41"/>
    </row>
    <row r="7" spans="1:5" ht="15.75" thickBot="1" x14ac:dyDescent="0.3">
      <c r="A7" s="36">
        <v>1.0669999999999999</v>
      </c>
      <c r="B7" s="44">
        <v>45777</v>
      </c>
      <c r="C7" s="20">
        <v>17</v>
      </c>
      <c r="D7" s="42">
        <v>18.14</v>
      </c>
      <c r="E7" s="41"/>
    </row>
    <row r="8" spans="1:5" ht="15.75" thickBot="1" x14ac:dyDescent="0.3">
      <c r="A8" s="36">
        <v>0.91900000000000004</v>
      </c>
      <c r="B8" s="44">
        <v>45747</v>
      </c>
      <c r="C8" s="20">
        <v>17</v>
      </c>
      <c r="D8" s="42">
        <v>15.62</v>
      </c>
      <c r="E8" s="41"/>
    </row>
    <row r="9" spans="1:5" ht="15.75" thickBot="1" x14ac:dyDescent="0.3">
      <c r="A9" s="36">
        <v>1.1220000000000001</v>
      </c>
      <c r="B9" s="44">
        <v>45716</v>
      </c>
      <c r="C9" s="20">
        <v>17</v>
      </c>
      <c r="D9" s="42">
        <v>19.07</v>
      </c>
      <c r="E9" s="41"/>
    </row>
    <row r="10" spans="1:5" ht="15.75" thickBot="1" x14ac:dyDescent="0.3">
      <c r="A10" s="36">
        <v>0.877</v>
      </c>
      <c r="B10" s="44">
        <v>45688</v>
      </c>
      <c r="C10" s="20">
        <v>17</v>
      </c>
      <c r="D10" s="42">
        <v>14.9</v>
      </c>
      <c r="E10" s="41"/>
    </row>
    <row r="11" spans="1:5" ht="15.75" thickBot="1" x14ac:dyDescent="0.3">
      <c r="A11" s="36">
        <v>1.3620000000000001</v>
      </c>
      <c r="B11" s="44">
        <v>45657</v>
      </c>
      <c r="C11" s="20">
        <v>17</v>
      </c>
      <c r="D11" s="42">
        <v>23.15</v>
      </c>
      <c r="E11" s="41"/>
    </row>
    <row r="12" spans="1:5" ht="15.75" thickBot="1" x14ac:dyDescent="0.3">
      <c r="A12" s="36">
        <v>1.3620000000000001</v>
      </c>
      <c r="B12" s="44">
        <v>45626</v>
      </c>
      <c r="C12" s="20">
        <v>17</v>
      </c>
      <c r="D12" s="42">
        <v>23.15</v>
      </c>
      <c r="E12" s="41"/>
    </row>
    <row r="13" spans="1:5" ht="15.75" thickBot="1" x14ac:dyDescent="0.3">
      <c r="A13" s="36">
        <v>1.3660000000000001</v>
      </c>
      <c r="B13" s="44">
        <v>45596</v>
      </c>
      <c r="C13" s="20">
        <v>15</v>
      </c>
      <c r="D13" s="42">
        <f t="shared" si="0"/>
        <v>20.490000000000002</v>
      </c>
      <c r="E13" s="41"/>
    </row>
    <row r="14" spans="1:5" ht="15.75" thickBot="1" x14ac:dyDescent="0.3">
      <c r="A14" s="36">
        <v>1.2869999999999999</v>
      </c>
      <c r="B14" s="44">
        <v>45565</v>
      </c>
      <c r="C14" s="20">
        <v>11</v>
      </c>
      <c r="D14" s="42">
        <v>14.16</v>
      </c>
      <c r="E14" s="41"/>
    </row>
    <row r="15" spans="1:5" ht="15.75" thickBot="1" x14ac:dyDescent="0.3">
      <c r="A15" s="36">
        <v>1.367</v>
      </c>
      <c r="B15" s="44">
        <v>45535</v>
      </c>
      <c r="C15" s="20">
        <v>11</v>
      </c>
      <c r="D15" s="42">
        <v>15.04</v>
      </c>
      <c r="E15" s="41"/>
    </row>
    <row r="16" spans="1:5" ht="15.75" thickBot="1" x14ac:dyDescent="0.3">
      <c r="A16" s="36">
        <v>1.369</v>
      </c>
      <c r="B16" s="44">
        <v>45504</v>
      </c>
      <c r="C16" s="20">
        <v>10</v>
      </c>
      <c r="D16" s="42">
        <f t="shared" si="0"/>
        <v>13.69</v>
      </c>
      <c r="E16" s="41"/>
    </row>
    <row r="17" spans="1:5" ht="15.75" thickBot="1" x14ac:dyDescent="0.3">
      <c r="A17" s="36">
        <v>1.389</v>
      </c>
      <c r="B17" s="44">
        <v>45473</v>
      </c>
      <c r="C17" s="20">
        <v>10</v>
      </c>
      <c r="D17" s="42">
        <f t="shared" si="0"/>
        <v>13.89</v>
      </c>
      <c r="E17" s="41"/>
    </row>
    <row r="18" spans="1:5" ht="15.75" thickBot="1" x14ac:dyDescent="0.3">
      <c r="A18" s="36">
        <v>1.4790000000000001</v>
      </c>
      <c r="B18" s="44">
        <v>45443</v>
      </c>
      <c r="C18" s="20">
        <v>10</v>
      </c>
      <c r="D18" s="42">
        <f t="shared" si="0"/>
        <v>14.790000000000001</v>
      </c>
      <c r="E18" s="41"/>
    </row>
    <row r="19" spans="1:5" ht="15.75" thickBot="1" x14ac:dyDescent="0.3">
      <c r="A19" s="36">
        <v>1.4159999999999999</v>
      </c>
      <c r="B19" s="44">
        <v>45412</v>
      </c>
      <c r="C19" s="20">
        <v>10</v>
      </c>
      <c r="D19" s="42">
        <f t="shared" si="0"/>
        <v>14.16</v>
      </c>
      <c r="E19" s="41"/>
    </row>
    <row r="20" spans="1:5" ht="15.75" thickBot="1" x14ac:dyDescent="0.3">
      <c r="A20" s="36">
        <v>1.24</v>
      </c>
      <c r="B20" s="44">
        <v>45382</v>
      </c>
      <c r="C20" s="20">
        <v>6</v>
      </c>
      <c r="D20" s="42">
        <f t="shared" si="0"/>
        <v>7.4399999999999995</v>
      </c>
      <c r="E20" s="41"/>
    </row>
    <row r="21" spans="1:5" ht="15.75" thickBot="1" x14ac:dyDescent="0.3">
      <c r="A21" s="36">
        <v>1.345</v>
      </c>
      <c r="B21" s="44">
        <v>45351</v>
      </c>
      <c r="C21" s="20">
        <v>6</v>
      </c>
      <c r="D21" s="42">
        <v>8.1</v>
      </c>
      <c r="E21" s="41"/>
    </row>
    <row r="22" spans="1:5" ht="15.75" thickBot="1" x14ac:dyDescent="0.3">
      <c r="A22" s="36">
        <v>1.2569999999999999</v>
      </c>
      <c r="B22" s="44">
        <v>45322</v>
      </c>
      <c r="C22" s="20">
        <v>6</v>
      </c>
      <c r="D22" s="42">
        <v>7.54</v>
      </c>
      <c r="E22" s="41"/>
    </row>
    <row r="23" spans="1:5" ht="15.75" thickBot="1" x14ac:dyDescent="0.3">
      <c r="A23" s="36">
        <v>1.37</v>
      </c>
      <c r="B23" s="44">
        <v>45291</v>
      </c>
      <c r="C23" s="20">
        <v>6</v>
      </c>
      <c r="D23" s="18">
        <f t="shared" si="0"/>
        <v>8.2200000000000006</v>
      </c>
    </row>
    <row r="24" spans="1:5" ht="15.75" thickBot="1" x14ac:dyDescent="0.3">
      <c r="A24" s="36">
        <v>1.39</v>
      </c>
      <c r="B24" s="44">
        <v>45260</v>
      </c>
      <c r="C24" s="20">
        <v>6</v>
      </c>
      <c r="D24" s="18">
        <f t="shared" si="0"/>
        <v>8.34</v>
      </c>
    </row>
    <row r="25" spans="1:5" ht="15.75" thickBot="1" x14ac:dyDescent="0.3">
      <c r="A25" s="36">
        <v>1.41</v>
      </c>
      <c r="B25" s="44">
        <v>45230</v>
      </c>
      <c r="C25" s="20">
        <v>4</v>
      </c>
      <c r="D25" s="18">
        <f t="shared" si="0"/>
        <v>5.64</v>
      </c>
    </row>
    <row r="26" spans="1:5" ht="15.75" thickBot="1" x14ac:dyDescent="0.3">
      <c r="A26" s="36">
        <v>1.49</v>
      </c>
      <c r="B26" s="44">
        <v>45199</v>
      </c>
      <c r="C26" s="20">
        <v>4</v>
      </c>
      <c r="D26" s="18">
        <f t="shared" si="0"/>
        <v>5.96</v>
      </c>
    </row>
    <row r="27" spans="1:5" ht="15.75" thickBot="1" x14ac:dyDescent="0.3">
      <c r="A27" s="36">
        <v>1.53</v>
      </c>
      <c r="B27" s="44">
        <v>45169</v>
      </c>
      <c r="C27" s="20">
        <v>4</v>
      </c>
      <c r="D27" s="18">
        <f t="shared" si="0"/>
        <v>6.12</v>
      </c>
    </row>
    <row r="28" spans="1:5" ht="15.75" thickBot="1" x14ac:dyDescent="0.3">
      <c r="A28" s="36">
        <v>1.48</v>
      </c>
      <c r="B28" s="44">
        <v>45138</v>
      </c>
      <c r="C28" s="20">
        <v>4</v>
      </c>
      <c r="D28" s="18">
        <f t="shared" si="0"/>
        <v>5.92</v>
      </c>
    </row>
    <row r="29" spans="1:5" ht="15.75" thickBot="1" x14ac:dyDescent="0.3">
      <c r="A29" s="36">
        <v>1.53</v>
      </c>
      <c r="B29" s="44">
        <v>45107</v>
      </c>
      <c r="C29" s="20">
        <v>4</v>
      </c>
      <c r="D29" s="18">
        <f t="shared" si="0"/>
        <v>6.12</v>
      </c>
    </row>
    <row r="30" spans="1:5" ht="15.75" thickBot="1" x14ac:dyDescent="0.3">
      <c r="A30" s="36">
        <v>1.53</v>
      </c>
      <c r="B30" s="44">
        <v>45077</v>
      </c>
      <c r="C30" s="20">
        <v>4</v>
      </c>
      <c r="D30" s="18">
        <f t="shared" si="0"/>
        <v>6.12</v>
      </c>
    </row>
    <row r="31" spans="1:5" ht="15.75" thickBot="1" x14ac:dyDescent="0.3">
      <c r="A31" s="36">
        <v>1.58</v>
      </c>
      <c r="B31" s="44">
        <v>45046</v>
      </c>
      <c r="C31" s="20">
        <v>2</v>
      </c>
      <c r="D31" s="18">
        <f t="shared" si="0"/>
        <v>3.16</v>
      </c>
    </row>
    <row r="32" spans="1:5" ht="15.75" thickBot="1" x14ac:dyDescent="0.3">
      <c r="A32" s="36">
        <v>1.35</v>
      </c>
      <c r="B32" s="44">
        <v>45016</v>
      </c>
      <c r="C32" s="20">
        <v>2</v>
      </c>
      <c r="D32" s="18">
        <f t="shared" si="0"/>
        <v>2.7</v>
      </c>
    </row>
    <row r="33" spans="1:4" ht="15.75" thickBot="1" x14ac:dyDescent="0.3">
      <c r="A33" s="36">
        <v>1.33</v>
      </c>
      <c r="B33" s="44">
        <v>44985</v>
      </c>
      <c r="C33" s="20">
        <v>2</v>
      </c>
      <c r="D33" s="18">
        <f t="shared" si="0"/>
        <v>2.66</v>
      </c>
    </row>
    <row r="34" spans="1:4" ht="15.75" thickBot="1" x14ac:dyDescent="0.3">
      <c r="A34" s="36">
        <v>1.5</v>
      </c>
      <c r="B34" s="44">
        <v>44957</v>
      </c>
      <c r="C34" s="20">
        <v>2</v>
      </c>
      <c r="D34" s="18">
        <f t="shared" si="0"/>
        <v>3</v>
      </c>
    </row>
    <row r="35" spans="1:4" ht="15.75" thickBot="1" x14ac:dyDescent="0.3">
      <c r="A35" s="36">
        <v>1.53</v>
      </c>
      <c r="B35" s="44">
        <v>44926</v>
      </c>
      <c r="C35" s="20">
        <v>2</v>
      </c>
      <c r="D35" s="18">
        <f t="shared" si="0"/>
        <v>3.06</v>
      </c>
    </row>
    <row r="36" spans="1:4" ht="15.75" thickBot="1" x14ac:dyDescent="0.3">
      <c r="A36" s="36">
        <v>1.51</v>
      </c>
      <c r="B36" s="44">
        <v>44895</v>
      </c>
      <c r="C36" s="20">
        <v>2</v>
      </c>
      <c r="D36" s="18">
        <f t="shared" si="0"/>
        <v>3.02</v>
      </c>
    </row>
    <row r="37" spans="1:4" ht="15.75" thickBot="1" x14ac:dyDescent="0.3">
      <c r="A37" s="36">
        <v>1.5</v>
      </c>
      <c r="B37" s="44">
        <v>44865</v>
      </c>
      <c r="C37" s="20">
        <v>2</v>
      </c>
      <c r="D37" s="18">
        <f t="shared" si="0"/>
        <v>3</v>
      </c>
    </row>
    <row r="38" spans="1:4" ht="15.75" thickBot="1" x14ac:dyDescent="0.3">
      <c r="A38" s="36">
        <v>1.48</v>
      </c>
      <c r="B38" s="44">
        <v>44834</v>
      </c>
      <c r="C38" s="20">
        <v>2</v>
      </c>
      <c r="D38" s="18">
        <f t="shared" si="0"/>
        <v>2.96</v>
      </c>
    </row>
    <row r="39" spans="1:4" ht="15.75" thickBot="1" x14ac:dyDescent="0.3">
      <c r="A39" s="36">
        <v>1.47</v>
      </c>
      <c r="B39" s="44">
        <v>44804</v>
      </c>
      <c r="C39" s="20">
        <v>2</v>
      </c>
      <c r="D39" s="18">
        <f t="shared" si="0"/>
        <v>2.94</v>
      </c>
    </row>
    <row r="40" spans="1:4" ht="15.75" thickBot="1" x14ac:dyDescent="0.3">
      <c r="A40" s="36">
        <v>1.41</v>
      </c>
      <c r="B40" s="44">
        <v>44773</v>
      </c>
      <c r="C40" s="20">
        <v>2</v>
      </c>
      <c r="D40" s="18">
        <f t="shared" si="0"/>
        <v>2.82</v>
      </c>
    </row>
    <row r="41" spans="1:4" ht="15.75" thickBot="1" x14ac:dyDescent="0.3">
      <c r="A41" s="36">
        <v>1.43</v>
      </c>
      <c r="B41" s="44">
        <v>44742</v>
      </c>
      <c r="C41" s="20">
        <v>2</v>
      </c>
      <c r="D41" s="18">
        <f t="shared" si="0"/>
        <v>2.86</v>
      </c>
    </row>
    <row r="42" spans="1:4" ht="15.75" thickBot="1" x14ac:dyDescent="0.3">
      <c r="A42" s="36">
        <v>1.42</v>
      </c>
      <c r="B42" s="44">
        <v>44712</v>
      </c>
      <c r="C42" s="20">
        <v>2</v>
      </c>
      <c r="D42" s="18">
        <f t="shared" si="0"/>
        <v>2.84</v>
      </c>
    </row>
    <row r="43" spans="1:4" ht="15.75" thickBot="1" x14ac:dyDescent="0.3">
      <c r="A43" s="36">
        <v>1.22</v>
      </c>
      <c r="B43" s="44">
        <v>44681</v>
      </c>
      <c r="C43" s="20">
        <v>2</v>
      </c>
      <c r="D43" s="18">
        <f t="shared" si="0"/>
        <v>2.44</v>
      </c>
    </row>
    <row r="44" spans="1:4" ht="15.75" thickBot="1" x14ac:dyDescent="0.3">
      <c r="A44" s="36">
        <v>1.25</v>
      </c>
      <c r="B44" s="44">
        <v>44651</v>
      </c>
      <c r="C44" s="20">
        <v>2</v>
      </c>
      <c r="D44" s="18">
        <f t="shared" si="0"/>
        <v>2.5</v>
      </c>
    </row>
    <row r="45" spans="1:4" ht="15.75" thickBot="1" x14ac:dyDescent="0.3">
      <c r="A45" s="36">
        <v>1.31</v>
      </c>
      <c r="B45" s="44">
        <v>44620</v>
      </c>
      <c r="C45" s="20">
        <v>2</v>
      </c>
      <c r="D45" s="18">
        <f t="shared" si="0"/>
        <v>2.62</v>
      </c>
    </row>
    <row r="46" spans="1:4" ht="15.75" thickBot="1" x14ac:dyDescent="0.3">
      <c r="A46" s="36">
        <v>1.27</v>
      </c>
      <c r="B46" s="44">
        <v>44592</v>
      </c>
      <c r="C46" s="20">
        <v>2</v>
      </c>
      <c r="D46" s="18">
        <f t="shared" si="0"/>
        <v>2.54</v>
      </c>
    </row>
    <row r="47" spans="1:4" ht="15.75" thickBot="1" x14ac:dyDescent="0.3">
      <c r="A47" s="36">
        <v>1.36</v>
      </c>
      <c r="B47" s="44">
        <v>44561</v>
      </c>
      <c r="C47" s="20">
        <v>2</v>
      </c>
      <c r="D47" s="18">
        <f t="shared" si="0"/>
        <v>2.72</v>
      </c>
    </row>
    <row r="48" spans="1:4" ht="15.75" thickBot="1" x14ac:dyDescent="0.3">
      <c r="A48" s="36">
        <v>1.26</v>
      </c>
      <c r="B48" s="44">
        <v>44530</v>
      </c>
      <c r="C48" s="20">
        <v>2</v>
      </c>
      <c r="D48" s="18">
        <f t="shared" si="0"/>
        <v>2.52</v>
      </c>
    </row>
    <row r="49" spans="1:4" ht="15.75" thickBot="1" x14ac:dyDescent="0.3">
      <c r="A49" s="36">
        <v>1.01</v>
      </c>
      <c r="B49" s="44">
        <v>44500</v>
      </c>
      <c r="C49" s="20">
        <v>2</v>
      </c>
      <c r="D49" s="18">
        <f t="shared" si="0"/>
        <v>2.02</v>
      </c>
    </row>
    <row r="50" spans="1:4" ht="15.75" thickBot="1" x14ac:dyDescent="0.3">
      <c r="A50" s="36">
        <v>1.1299999999999999</v>
      </c>
      <c r="B50" s="44">
        <v>44469</v>
      </c>
      <c r="C50" s="20">
        <v>2</v>
      </c>
      <c r="D50" s="18">
        <f t="shared" si="0"/>
        <v>2.2599999999999998</v>
      </c>
    </row>
    <row r="51" spans="1:4" ht="15.75" thickBot="1" x14ac:dyDescent="0.3">
      <c r="A51" s="36">
        <v>1.1299999999999999</v>
      </c>
      <c r="B51" s="44">
        <v>44439</v>
      </c>
      <c r="C51" s="20">
        <v>2</v>
      </c>
      <c r="D51" s="18">
        <f t="shared" si="0"/>
        <v>2.2599999999999998</v>
      </c>
    </row>
    <row r="52" spans="1:4" ht="15.75" thickBot="1" x14ac:dyDescent="0.3">
      <c r="A52" s="36">
        <v>1.02</v>
      </c>
      <c r="B52" s="44">
        <v>44408</v>
      </c>
      <c r="C52" s="20">
        <v>2</v>
      </c>
      <c r="D52" s="18">
        <f t="shared" si="0"/>
        <v>2.04</v>
      </c>
    </row>
    <row r="53" spans="1:4" ht="15.75" thickBot="1" x14ac:dyDescent="0.3">
      <c r="A53" s="36">
        <v>1.1399999999999999</v>
      </c>
      <c r="B53" s="44">
        <v>44377</v>
      </c>
      <c r="C53" s="20">
        <v>1</v>
      </c>
      <c r="D53" s="18">
        <f t="shared" si="0"/>
        <v>1.1399999999999999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9B8BFA6-2972-4F1A-83BA-4854644E66A9}">
  <sheetPr>
    <tabColor theme="9"/>
  </sheetPr>
  <dimension ref="A1:D33"/>
  <sheetViews>
    <sheetView showGridLines="0" workbookViewId="0">
      <selection activeCell="H1" activeCellId="1" sqref="A1:A1048576 H1:L1048576"/>
    </sheetView>
  </sheetViews>
  <sheetFormatPr defaultRowHeight="15" x14ac:dyDescent="0.25"/>
  <cols>
    <col min="1" max="1" width="22.7109375" style="1" customWidth="1"/>
    <col min="2" max="2" width="22.7109375" style="2" customWidth="1"/>
    <col min="3" max="3" width="14.85546875" bestFit="1" customWidth="1"/>
    <col min="4" max="4" width="8.85546875" customWidth="1"/>
  </cols>
  <sheetData>
    <row r="1" spans="1:4" ht="18" customHeight="1" thickBot="1" x14ac:dyDescent="0.3">
      <c r="A1" s="10" t="s">
        <v>0</v>
      </c>
      <c r="B1" s="16" t="s">
        <v>1</v>
      </c>
      <c r="C1" s="19" t="s">
        <v>9</v>
      </c>
      <c r="D1" s="17" t="s">
        <v>8</v>
      </c>
    </row>
    <row r="2" spans="1:4" ht="15.75" thickBot="1" x14ac:dyDescent="0.3">
      <c r="A2" s="13">
        <v>0.95</v>
      </c>
      <c r="B2" s="44">
        <v>45930</v>
      </c>
      <c r="C2" s="20">
        <v>20</v>
      </c>
      <c r="D2" s="18">
        <f>C2*A2</f>
        <v>19</v>
      </c>
    </row>
    <row r="3" spans="1:4" ht="15.75" thickBot="1" x14ac:dyDescent="0.3">
      <c r="A3" s="13">
        <v>0.95</v>
      </c>
      <c r="B3" s="44">
        <v>45900</v>
      </c>
      <c r="C3" s="20">
        <v>20</v>
      </c>
      <c r="D3" s="18">
        <f t="shared" ref="D3:D33" si="0">C3*A3</f>
        <v>19</v>
      </c>
    </row>
    <row r="4" spans="1:4" ht="15.75" thickBot="1" x14ac:dyDescent="0.3">
      <c r="A4" s="13">
        <v>1.55</v>
      </c>
      <c r="B4" s="44">
        <v>45869</v>
      </c>
      <c r="C4" s="20">
        <v>20</v>
      </c>
      <c r="D4" s="18">
        <f t="shared" si="0"/>
        <v>31</v>
      </c>
    </row>
    <row r="5" spans="1:4" ht="15.75" thickBot="1" x14ac:dyDescent="0.3">
      <c r="A5" s="13">
        <v>0.9</v>
      </c>
      <c r="B5" s="44">
        <v>45838</v>
      </c>
      <c r="C5" s="20">
        <v>15</v>
      </c>
      <c r="D5" s="18">
        <f t="shared" si="0"/>
        <v>13.5</v>
      </c>
    </row>
    <row r="6" spans="1:4" ht="15.75" thickBot="1" x14ac:dyDescent="0.3">
      <c r="A6" s="13">
        <v>0.9</v>
      </c>
      <c r="B6" s="44">
        <v>45808</v>
      </c>
      <c r="C6" s="20">
        <v>15</v>
      </c>
      <c r="D6" s="18">
        <f t="shared" si="0"/>
        <v>13.5</v>
      </c>
    </row>
    <row r="7" spans="1:4" ht="15.75" thickBot="1" x14ac:dyDescent="0.3">
      <c r="A7" s="13">
        <v>0.9</v>
      </c>
      <c r="B7" s="44">
        <v>45777</v>
      </c>
      <c r="C7" s="20">
        <v>15</v>
      </c>
      <c r="D7" s="18">
        <f t="shared" si="0"/>
        <v>13.5</v>
      </c>
    </row>
    <row r="8" spans="1:4" ht="15.75" thickBot="1" x14ac:dyDescent="0.3">
      <c r="A8" s="13">
        <v>0.9</v>
      </c>
      <c r="B8" s="44">
        <v>45747</v>
      </c>
      <c r="C8" s="20">
        <v>13</v>
      </c>
      <c r="D8" s="18">
        <f t="shared" si="0"/>
        <v>11.700000000000001</v>
      </c>
    </row>
    <row r="9" spans="1:4" ht="15.75" thickBot="1" x14ac:dyDescent="0.3">
      <c r="A9" s="13">
        <v>0.9</v>
      </c>
      <c r="B9" s="44">
        <v>45716</v>
      </c>
      <c r="C9" s="20">
        <v>13</v>
      </c>
      <c r="D9" s="18">
        <f t="shared" si="0"/>
        <v>11.700000000000001</v>
      </c>
    </row>
    <row r="10" spans="1:4" ht="15.75" thickBot="1" x14ac:dyDescent="0.3">
      <c r="A10" s="13">
        <v>1.9</v>
      </c>
      <c r="B10" s="44">
        <v>45688</v>
      </c>
      <c r="C10" s="20">
        <v>13</v>
      </c>
      <c r="D10" s="18">
        <f t="shared" si="0"/>
        <v>24.7</v>
      </c>
    </row>
    <row r="11" spans="1:4" ht="15.75" thickBot="1" x14ac:dyDescent="0.3">
      <c r="A11" s="13">
        <v>0.9</v>
      </c>
      <c r="B11" s="44">
        <v>45657</v>
      </c>
      <c r="C11" s="20">
        <v>13</v>
      </c>
      <c r="D11" s="18">
        <f t="shared" si="0"/>
        <v>11.700000000000001</v>
      </c>
    </row>
    <row r="12" spans="1:4" ht="15.75" thickBot="1" x14ac:dyDescent="0.3">
      <c r="A12" s="13">
        <v>0.9</v>
      </c>
      <c r="B12" s="44">
        <v>45626</v>
      </c>
      <c r="C12" s="20">
        <v>13</v>
      </c>
      <c r="D12" s="18">
        <f t="shared" si="0"/>
        <v>11.700000000000001</v>
      </c>
    </row>
    <row r="13" spans="1:4" ht="15.75" thickBot="1" x14ac:dyDescent="0.3">
      <c r="A13" s="13">
        <v>0.85</v>
      </c>
      <c r="B13" s="44">
        <v>45596</v>
      </c>
      <c r="C13" s="20">
        <v>13</v>
      </c>
      <c r="D13" s="18">
        <f t="shared" si="0"/>
        <v>11.049999999999999</v>
      </c>
    </row>
    <row r="14" spans="1:4" ht="15.75" thickBot="1" x14ac:dyDescent="0.3">
      <c r="A14" s="13">
        <v>0.69499999999999995</v>
      </c>
      <c r="B14" s="44">
        <v>45565</v>
      </c>
      <c r="C14" s="20">
        <v>11</v>
      </c>
      <c r="D14" s="18">
        <f t="shared" si="0"/>
        <v>7.6449999999999996</v>
      </c>
    </row>
    <row r="15" spans="1:4" ht="15.75" thickBot="1" x14ac:dyDescent="0.3">
      <c r="A15" s="13">
        <v>0.85</v>
      </c>
      <c r="B15" s="44">
        <v>45535</v>
      </c>
      <c r="C15" s="20">
        <v>11</v>
      </c>
      <c r="D15" s="18">
        <f t="shared" si="0"/>
        <v>9.35</v>
      </c>
    </row>
    <row r="16" spans="1:4" ht="15.75" thickBot="1" x14ac:dyDescent="0.3">
      <c r="A16" s="13">
        <v>1.25</v>
      </c>
      <c r="B16" s="44">
        <v>45504</v>
      </c>
      <c r="C16" s="20">
        <v>11</v>
      </c>
      <c r="D16" s="18">
        <f t="shared" si="0"/>
        <v>13.75</v>
      </c>
    </row>
    <row r="17" spans="1:4" ht="15.75" thickBot="1" x14ac:dyDescent="0.3">
      <c r="A17" s="13">
        <v>0.85</v>
      </c>
      <c r="B17" s="44">
        <v>45473</v>
      </c>
      <c r="C17" s="20">
        <v>9</v>
      </c>
      <c r="D17" s="18">
        <f t="shared" si="0"/>
        <v>7.6499999999999995</v>
      </c>
    </row>
    <row r="18" spans="1:4" ht="15.75" thickBot="1" x14ac:dyDescent="0.3">
      <c r="A18" s="13">
        <v>0.85</v>
      </c>
      <c r="B18" s="44">
        <v>45443</v>
      </c>
      <c r="C18" s="20">
        <v>9</v>
      </c>
      <c r="D18" s="18">
        <f t="shared" si="0"/>
        <v>7.6499999999999995</v>
      </c>
    </row>
    <row r="19" spans="1:4" ht="15.75" thickBot="1" x14ac:dyDescent="0.3">
      <c r="A19" s="13">
        <v>0.85</v>
      </c>
      <c r="B19" s="44">
        <v>45412</v>
      </c>
      <c r="C19" s="20">
        <v>9</v>
      </c>
      <c r="D19" s="18">
        <f t="shared" si="0"/>
        <v>7.6499999999999995</v>
      </c>
    </row>
    <row r="20" spans="1:4" ht="15.75" thickBot="1" x14ac:dyDescent="0.3">
      <c r="A20" s="13">
        <v>0.85</v>
      </c>
      <c r="B20" s="44">
        <v>45382</v>
      </c>
      <c r="C20" s="20">
        <v>7</v>
      </c>
      <c r="D20" s="18">
        <f t="shared" si="0"/>
        <v>5.95</v>
      </c>
    </row>
    <row r="21" spans="1:4" ht="15.75" thickBot="1" x14ac:dyDescent="0.3">
      <c r="A21" s="13">
        <v>0.85</v>
      </c>
      <c r="B21" s="44">
        <v>45351</v>
      </c>
      <c r="C21" s="20">
        <v>7</v>
      </c>
      <c r="D21" s="18">
        <f t="shared" si="0"/>
        <v>5.95</v>
      </c>
    </row>
    <row r="22" spans="1:4" ht="15.75" thickBot="1" x14ac:dyDescent="0.3">
      <c r="A22" s="13">
        <v>2.2999999999999998</v>
      </c>
      <c r="B22" s="44">
        <v>45322</v>
      </c>
      <c r="C22" s="20">
        <v>6</v>
      </c>
      <c r="D22" s="18">
        <f t="shared" si="0"/>
        <v>13.799999999999999</v>
      </c>
    </row>
    <row r="23" spans="1:4" ht="15.75" thickBot="1" x14ac:dyDescent="0.3">
      <c r="A23" s="13">
        <v>0.85</v>
      </c>
      <c r="B23" s="44">
        <v>45291</v>
      </c>
      <c r="C23" s="20">
        <v>6</v>
      </c>
      <c r="D23" s="18">
        <f t="shared" si="0"/>
        <v>5.0999999999999996</v>
      </c>
    </row>
    <row r="24" spans="1:4" ht="15.75" thickBot="1" x14ac:dyDescent="0.3">
      <c r="A24" s="13">
        <v>0.85</v>
      </c>
      <c r="B24" s="44">
        <v>45260</v>
      </c>
      <c r="C24" s="20">
        <v>5</v>
      </c>
      <c r="D24" s="18">
        <f t="shared" si="0"/>
        <v>4.25</v>
      </c>
    </row>
    <row r="25" spans="1:4" ht="15.75" thickBot="1" x14ac:dyDescent="0.3">
      <c r="A25" s="13">
        <v>0.85</v>
      </c>
      <c r="B25" s="44">
        <v>45230</v>
      </c>
      <c r="C25" s="20">
        <v>5</v>
      </c>
      <c r="D25" s="18">
        <f t="shared" si="0"/>
        <v>4.25</v>
      </c>
    </row>
    <row r="26" spans="1:4" ht="15.75" thickBot="1" x14ac:dyDescent="0.3">
      <c r="A26" s="13">
        <v>0.85</v>
      </c>
      <c r="B26" s="44">
        <v>45199</v>
      </c>
      <c r="C26" s="20">
        <v>5</v>
      </c>
      <c r="D26" s="18">
        <f t="shared" si="0"/>
        <v>4.25</v>
      </c>
    </row>
    <row r="27" spans="1:4" ht="15.75" thickBot="1" x14ac:dyDescent="0.3">
      <c r="A27" s="13">
        <v>0.85</v>
      </c>
      <c r="B27" s="44">
        <v>45169</v>
      </c>
      <c r="C27" s="20">
        <v>4</v>
      </c>
      <c r="D27" s="18">
        <f t="shared" si="0"/>
        <v>3.4</v>
      </c>
    </row>
    <row r="28" spans="1:4" ht="15.75" thickBot="1" x14ac:dyDescent="0.3">
      <c r="A28" s="13">
        <v>1.4</v>
      </c>
      <c r="B28" s="44">
        <v>45138</v>
      </c>
      <c r="C28" s="20">
        <v>3</v>
      </c>
      <c r="D28" s="18">
        <f t="shared" si="0"/>
        <v>4.1999999999999993</v>
      </c>
    </row>
    <row r="29" spans="1:4" ht="15.75" thickBot="1" x14ac:dyDescent="0.3">
      <c r="A29" s="13">
        <v>0.85</v>
      </c>
      <c r="B29" s="44">
        <v>45107</v>
      </c>
      <c r="C29" s="20">
        <v>3</v>
      </c>
      <c r="D29" s="18">
        <f t="shared" si="0"/>
        <v>2.5499999999999998</v>
      </c>
    </row>
    <row r="30" spans="1:4" ht="15.75" thickBot="1" x14ac:dyDescent="0.3">
      <c r="A30" s="13">
        <v>0.85</v>
      </c>
      <c r="B30" s="44">
        <v>45077</v>
      </c>
      <c r="C30" s="20">
        <v>3</v>
      </c>
      <c r="D30" s="18">
        <f t="shared" si="0"/>
        <v>2.5499999999999998</v>
      </c>
    </row>
    <row r="31" spans="1:4" ht="15.75" thickBot="1" x14ac:dyDescent="0.3">
      <c r="A31" s="13">
        <v>0.85</v>
      </c>
      <c r="B31" s="44">
        <v>45046</v>
      </c>
      <c r="C31" s="20">
        <v>3</v>
      </c>
      <c r="D31" s="18">
        <f t="shared" si="0"/>
        <v>2.5499999999999998</v>
      </c>
    </row>
    <row r="32" spans="1:4" ht="15.75" thickBot="1" x14ac:dyDescent="0.3">
      <c r="A32" s="13">
        <v>0.85</v>
      </c>
      <c r="B32" s="44">
        <v>45016</v>
      </c>
      <c r="C32" s="20">
        <v>3</v>
      </c>
      <c r="D32" s="18">
        <f t="shared" si="0"/>
        <v>2.5499999999999998</v>
      </c>
    </row>
    <row r="33" spans="1:4" ht="15.75" thickBot="1" x14ac:dyDescent="0.3">
      <c r="A33" s="13">
        <v>0.82</v>
      </c>
      <c r="B33" s="44">
        <v>44985</v>
      </c>
      <c r="C33" s="20">
        <v>2</v>
      </c>
      <c r="D33" s="18">
        <f t="shared" si="0"/>
        <v>1.64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A15CC60-4BF4-477D-AADC-9313352DD826}">
  <sheetPr>
    <tabColor theme="9"/>
  </sheetPr>
  <dimension ref="A1:H34"/>
  <sheetViews>
    <sheetView workbookViewId="0">
      <selection activeCell="I14" sqref="H2:I14"/>
    </sheetView>
  </sheetViews>
  <sheetFormatPr defaultRowHeight="15" x14ac:dyDescent="0.25"/>
  <cols>
    <col min="1" max="1" width="23.28515625" style="1" customWidth="1"/>
    <col min="2" max="2" width="23.28515625" style="2" customWidth="1"/>
    <col min="3" max="3" width="16" customWidth="1"/>
    <col min="5" max="5" width="9.28515625" bestFit="1" customWidth="1"/>
  </cols>
  <sheetData>
    <row r="1" spans="1:8" ht="27" customHeight="1" thickBot="1" x14ac:dyDescent="0.3">
      <c r="A1" s="10" t="s">
        <v>0</v>
      </c>
      <c r="B1" s="12" t="s">
        <v>1</v>
      </c>
      <c r="C1" s="10" t="s">
        <v>9</v>
      </c>
      <c r="D1" s="10" t="s">
        <v>8</v>
      </c>
    </row>
    <row r="2" spans="1:8" ht="15.75" thickBot="1" x14ac:dyDescent="0.3">
      <c r="A2" s="11">
        <v>0.92</v>
      </c>
      <c r="B2" s="44">
        <v>45900</v>
      </c>
      <c r="C2" s="27">
        <v>31</v>
      </c>
      <c r="D2" s="28">
        <f>C2*A2</f>
        <v>28.52</v>
      </c>
    </row>
    <row r="3" spans="1:8" ht="15.75" thickBot="1" x14ac:dyDescent="0.3">
      <c r="A3" s="11">
        <v>0.92</v>
      </c>
      <c r="B3" s="44">
        <v>45869</v>
      </c>
      <c r="C3" s="27">
        <v>26</v>
      </c>
      <c r="D3" s="28">
        <f t="shared" ref="D3:D33" si="0">C3*A3</f>
        <v>23.92</v>
      </c>
    </row>
    <row r="4" spans="1:8" ht="15.75" thickBot="1" x14ac:dyDescent="0.3">
      <c r="A4" s="11">
        <v>0.92</v>
      </c>
      <c r="B4" s="44">
        <v>45838</v>
      </c>
      <c r="C4" s="27">
        <v>26</v>
      </c>
      <c r="D4" s="28">
        <f t="shared" si="0"/>
        <v>23.92</v>
      </c>
      <c r="H4" s="21"/>
    </row>
    <row r="5" spans="1:8" ht="15.75" thickBot="1" x14ac:dyDescent="0.3">
      <c r="A5" s="11">
        <v>0.92</v>
      </c>
      <c r="B5" s="44">
        <v>45808</v>
      </c>
      <c r="C5" s="27">
        <v>26</v>
      </c>
      <c r="D5" s="28">
        <f t="shared" si="0"/>
        <v>23.92</v>
      </c>
    </row>
    <row r="6" spans="1:8" ht="15.75" thickBot="1" x14ac:dyDescent="0.3">
      <c r="A6" s="11">
        <v>0.92</v>
      </c>
      <c r="B6" s="44">
        <v>45777</v>
      </c>
      <c r="C6" s="27">
        <v>26</v>
      </c>
      <c r="D6" s="28">
        <f t="shared" si="0"/>
        <v>23.92</v>
      </c>
    </row>
    <row r="7" spans="1:8" ht="15.75" thickBot="1" x14ac:dyDescent="0.3">
      <c r="A7" s="11">
        <v>0.92</v>
      </c>
      <c r="B7" s="44">
        <v>45747</v>
      </c>
      <c r="C7" s="27">
        <v>26</v>
      </c>
      <c r="D7" s="28">
        <f t="shared" si="0"/>
        <v>23.92</v>
      </c>
    </row>
    <row r="8" spans="1:8" ht="15.75" thickBot="1" x14ac:dyDescent="0.3">
      <c r="A8" s="11">
        <v>0.92</v>
      </c>
      <c r="B8" s="44">
        <v>45716</v>
      </c>
      <c r="C8" s="27">
        <v>26</v>
      </c>
      <c r="D8" s="28">
        <f t="shared" si="0"/>
        <v>23.92</v>
      </c>
    </row>
    <row r="9" spans="1:8" ht="15.75" thickBot="1" x14ac:dyDescent="0.3">
      <c r="A9" s="11">
        <v>0.92</v>
      </c>
      <c r="B9" s="44">
        <v>45688</v>
      </c>
      <c r="C9" s="27">
        <v>24</v>
      </c>
      <c r="D9" s="28">
        <f t="shared" si="0"/>
        <v>22.080000000000002</v>
      </c>
      <c r="E9" s="32"/>
    </row>
    <row r="10" spans="1:8" ht="15.75" thickBot="1" x14ac:dyDescent="0.3">
      <c r="A10" s="11">
        <v>0.92</v>
      </c>
      <c r="B10" s="44">
        <v>45657</v>
      </c>
      <c r="C10" s="27">
        <v>20</v>
      </c>
      <c r="D10" s="28">
        <f t="shared" si="0"/>
        <v>18.400000000000002</v>
      </c>
      <c r="E10" s="29"/>
    </row>
    <row r="11" spans="1:8" ht="15.75" thickBot="1" x14ac:dyDescent="0.3">
      <c r="A11" s="11">
        <v>0.92</v>
      </c>
      <c r="B11" s="44">
        <v>45626</v>
      </c>
      <c r="C11" s="27">
        <v>16</v>
      </c>
      <c r="D11" s="28">
        <f t="shared" si="0"/>
        <v>14.72</v>
      </c>
      <c r="E11" s="29"/>
    </row>
    <row r="12" spans="1:8" ht="15.75" thickBot="1" x14ac:dyDescent="0.3">
      <c r="A12" s="11">
        <v>0.92</v>
      </c>
      <c r="B12" s="44">
        <v>45596</v>
      </c>
      <c r="C12" s="27">
        <v>16</v>
      </c>
      <c r="D12" s="28">
        <f t="shared" si="0"/>
        <v>14.72</v>
      </c>
      <c r="E12" s="29"/>
    </row>
    <row r="13" spans="1:8" ht="15.75" thickBot="1" x14ac:dyDescent="0.3">
      <c r="A13" s="11">
        <v>0.7</v>
      </c>
      <c r="B13" s="44">
        <v>45565</v>
      </c>
      <c r="C13" s="27">
        <v>13</v>
      </c>
      <c r="D13" s="28">
        <f t="shared" si="0"/>
        <v>9.1</v>
      </c>
      <c r="E13" s="29"/>
    </row>
    <row r="14" spans="1:8" ht="15.75" thickBot="1" x14ac:dyDescent="0.3">
      <c r="A14" s="11">
        <v>0.92</v>
      </c>
      <c r="B14" s="44">
        <v>45535</v>
      </c>
      <c r="C14" s="27">
        <v>13</v>
      </c>
      <c r="D14" s="28">
        <f t="shared" si="0"/>
        <v>11.96</v>
      </c>
      <c r="E14" s="29"/>
    </row>
    <row r="15" spans="1:8" ht="15.75" thickBot="1" x14ac:dyDescent="0.3">
      <c r="A15" s="11">
        <v>0.92</v>
      </c>
      <c r="B15" s="44">
        <v>45504</v>
      </c>
      <c r="C15" s="27">
        <v>11</v>
      </c>
      <c r="D15" s="28">
        <f t="shared" si="0"/>
        <v>10.120000000000001</v>
      </c>
      <c r="E15" s="29"/>
    </row>
    <row r="16" spans="1:8" ht="15.75" thickBot="1" x14ac:dyDescent="0.3">
      <c r="A16" s="11">
        <v>0.92700000000000005</v>
      </c>
      <c r="B16" s="44">
        <v>45473</v>
      </c>
      <c r="C16" s="27">
        <v>11</v>
      </c>
      <c r="D16" s="28">
        <f t="shared" si="0"/>
        <v>10.197000000000001</v>
      </c>
      <c r="E16" s="29"/>
    </row>
    <row r="17" spans="1:8" ht="15.75" thickBot="1" x14ac:dyDescent="0.3">
      <c r="A17" s="11">
        <v>0.92</v>
      </c>
      <c r="B17" s="44">
        <v>45443</v>
      </c>
      <c r="C17" s="27">
        <v>10</v>
      </c>
      <c r="D17" s="28">
        <f t="shared" si="0"/>
        <v>9.2000000000000011</v>
      </c>
      <c r="E17" s="29"/>
    </row>
    <row r="18" spans="1:8" ht="15.75" thickBot="1" x14ac:dyDescent="0.3">
      <c r="A18" s="11">
        <v>0.91</v>
      </c>
      <c r="B18" s="44">
        <v>45412</v>
      </c>
      <c r="C18" s="27">
        <v>10</v>
      </c>
      <c r="D18" s="28">
        <f t="shared" si="0"/>
        <v>9.1</v>
      </c>
      <c r="E18" s="29"/>
    </row>
    <row r="19" spans="1:8" ht="15.75" thickBot="1" x14ac:dyDescent="0.3">
      <c r="A19" s="11">
        <v>0.9</v>
      </c>
      <c r="B19" s="44">
        <v>45382</v>
      </c>
      <c r="C19" s="27">
        <v>9</v>
      </c>
      <c r="D19" s="28">
        <f t="shared" si="0"/>
        <v>8.1</v>
      </c>
      <c r="E19" s="29"/>
    </row>
    <row r="20" spans="1:8" ht="15.75" thickBot="1" x14ac:dyDescent="0.3">
      <c r="A20" s="11">
        <v>0.9</v>
      </c>
      <c r="B20" s="44">
        <v>45351</v>
      </c>
      <c r="C20" s="27">
        <v>8</v>
      </c>
      <c r="D20" s="28">
        <f t="shared" si="0"/>
        <v>7.2</v>
      </c>
      <c r="E20" s="30"/>
    </row>
    <row r="21" spans="1:8" ht="15.75" thickBot="1" x14ac:dyDescent="0.3">
      <c r="A21" s="11">
        <v>0.92</v>
      </c>
      <c r="B21" s="44">
        <v>45322</v>
      </c>
      <c r="C21" s="27">
        <v>8</v>
      </c>
      <c r="D21" s="28">
        <f t="shared" si="0"/>
        <v>7.36</v>
      </c>
      <c r="E21" s="30"/>
    </row>
    <row r="22" spans="1:8" ht="15.75" thickBot="1" x14ac:dyDescent="0.3">
      <c r="A22" s="11">
        <v>0.9</v>
      </c>
      <c r="B22" s="44">
        <v>45291</v>
      </c>
      <c r="C22" s="27">
        <v>8</v>
      </c>
      <c r="D22" s="28">
        <f t="shared" si="0"/>
        <v>7.2</v>
      </c>
      <c r="E22" s="31"/>
    </row>
    <row r="23" spans="1:8" ht="15.75" thickBot="1" x14ac:dyDescent="0.3">
      <c r="A23" s="11">
        <v>0.85</v>
      </c>
      <c r="B23" s="44">
        <v>45260</v>
      </c>
      <c r="C23" s="27">
        <v>7</v>
      </c>
      <c r="D23" s="28">
        <f t="shared" si="0"/>
        <v>5.95</v>
      </c>
    </row>
    <row r="24" spans="1:8" ht="15.75" thickBot="1" x14ac:dyDescent="0.3">
      <c r="A24" s="11">
        <v>0.85</v>
      </c>
      <c r="B24" s="44">
        <v>45230</v>
      </c>
      <c r="C24" s="27">
        <v>6</v>
      </c>
      <c r="D24" s="28">
        <f t="shared" si="0"/>
        <v>5.0999999999999996</v>
      </c>
    </row>
    <row r="25" spans="1:8" ht="15.75" thickBot="1" x14ac:dyDescent="0.3">
      <c r="A25" s="11">
        <v>0.85</v>
      </c>
      <c r="B25" s="44">
        <v>45199</v>
      </c>
      <c r="C25" s="27">
        <v>6</v>
      </c>
      <c r="D25" s="28">
        <f t="shared" si="0"/>
        <v>5.0999999999999996</v>
      </c>
      <c r="H25" s="33"/>
    </row>
    <row r="26" spans="1:8" ht="15.75" thickBot="1" x14ac:dyDescent="0.3">
      <c r="A26" s="11">
        <v>0.84</v>
      </c>
      <c r="B26" s="44">
        <v>45169</v>
      </c>
      <c r="C26" s="27">
        <v>5</v>
      </c>
      <c r="D26" s="28">
        <f t="shared" si="0"/>
        <v>4.2</v>
      </c>
    </row>
    <row r="27" spans="1:8" ht="15.75" thickBot="1" x14ac:dyDescent="0.3">
      <c r="A27" s="11">
        <v>0.83</v>
      </c>
      <c r="B27" s="44">
        <v>45138</v>
      </c>
      <c r="C27" s="27">
        <v>5</v>
      </c>
      <c r="D27" s="28">
        <f t="shared" si="0"/>
        <v>4.1499999999999995</v>
      </c>
      <c r="H27" s="21"/>
    </row>
    <row r="28" spans="1:8" ht="15.75" thickBot="1" x14ac:dyDescent="0.3">
      <c r="A28" s="11">
        <v>0.81</v>
      </c>
      <c r="B28" s="44">
        <v>45107</v>
      </c>
      <c r="C28" s="27">
        <v>3</v>
      </c>
      <c r="D28" s="28">
        <f t="shared" si="0"/>
        <v>2.4300000000000002</v>
      </c>
    </row>
    <row r="29" spans="1:8" ht="15.75" thickBot="1" x14ac:dyDescent="0.3">
      <c r="A29" s="11">
        <v>0.81</v>
      </c>
      <c r="B29" s="44">
        <v>45077</v>
      </c>
      <c r="C29" s="27">
        <v>3</v>
      </c>
      <c r="D29" s="28">
        <f t="shared" si="0"/>
        <v>2.4300000000000002</v>
      </c>
    </row>
    <row r="30" spans="1:8" ht="15.75" thickBot="1" x14ac:dyDescent="0.3">
      <c r="A30" s="11">
        <v>0.8</v>
      </c>
      <c r="B30" s="44">
        <v>45046</v>
      </c>
      <c r="C30" s="27">
        <v>3</v>
      </c>
      <c r="D30" s="28">
        <f t="shared" si="0"/>
        <v>2.4000000000000004</v>
      </c>
    </row>
    <row r="31" spans="1:8" ht="15.75" thickBot="1" x14ac:dyDescent="0.3">
      <c r="A31" s="11">
        <v>0.69</v>
      </c>
      <c r="B31" s="44">
        <v>45016</v>
      </c>
      <c r="C31" s="27">
        <v>3</v>
      </c>
      <c r="D31" s="28">
        <f t="shared" si="0"/>
        <v>2.0699999999999998</v>
      </c>
    </row>
    <row r="32" spans="1:8" ht="15.75" thickBot="1" x14ac:dyDescent="0.3">
      <c r="A32" s="11">
        <v>0.77</v>
      </c>
      <c r="B32" s="44">
        <v>44985</v>
      </c>
      <c r="C32" s="27">
        <v>2</v>
      </c>
      <c r="D32" s="28">
        <f t="shared" si="0"/>
        <v>1.54</v>
      </c>
    </row>
    <row r="33" spans="1:8" ht="15.75" thickBot="1" x14ac:dyDescent="0.3">
      <c r="A33" s="11">
        <v>0.90500000000000003</v>
      </c>
      <c r="B33" s="44">
        <v>44957</v>
      </c>
      <c r="C33" s="27">
        <v>2</v>
      </c>
      <c r="D33" s="28">
        <f t="shared" si="0"/>
        <v>1.81</v>
      </c>
    </row>
    <row r="34" spans="1:8" x14ac:dyDescent="0.25">
      <c r="H34" s="21"/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7C09D49-7FBE-4272-A725-AF863B56E40E}">
  <sheetPr>
    <tabColor theme="9"/>
  </sheetPr>
  <dimension ref="A1:G10"/>
  <sheetViews>
    <sheetView workbookViewId="0">
      <selection sqref="A1:A1048576"/>
    </sheetView>
  </sheetViews>
  <sheetFormatPr defaultRowHeight="15" x14ac:dyDescent="0.25"/>
  <cols>
    <col min="1" max="1" width="21.42578125" customWidth="1"/>
    <col min="2" max="2" width="22.7109375" customWidth="1"/>
    <col min="3" max="4" width="16.140625" customWidth="1"/>
  </cols>
  <sheetData>
    <row r="1" spans="1:7" ht="22.5" customHeight="1" thickBot="1" x14ac:dyDescent="0.3">
      <c r="A1" s="10" t="s">
        <v>0</v>
      </c>
      <c r="B1" s="12" t="s">
        <v>1</v>
      </c>
      <c r="C1" s="10" t="s">
        <v>9</v>
      </c>
      <c r="D1" s="10" t="s">
        <v>8</v>
      </c>
    </row>
    <row r="2" spans="1:7" ht="15.75" thickBot="1" x14ac:dyDescent="0.3">
      <c r="A2" s="14">
        <v>0.9</v>
      </c>
      <c r="B2" s="44">
        <v>45930</v>
      </c>
      <c r="C2" s="11">
        <v>35</v>
      </c>
      <c r="D2" s="13">
        <f>ROUND(C2*A2, 2)</f>
        <v>31.5</v>
      </c>
      <c r="G2" s="21"/>
    </row>
    <row r="3" spans="1:7" ht="15.75" thickBot="1" x14ac:dyDescent="0.3">
      <c r="A3" s="13">
        <v>0.9</v>
      </c>
      <c r="B3" s="44">
        <v>45900</v>
      </c>
      <c r="C3" s="11">
        <v>24</v>
      </c>
      <c r="D3" s="13">
        <f t="shared" ref="D3:D10" si="0">ROUND(C3*A3, 2)</f>
        <v>21.6</v>
      </c>
    </row>
    <row r="4" spans="1:7" ht="15.75" thickBot="1" x14ac:dyDescent="0.3">
      <c r="A4" s="13">
        <v>0.87</v>
      </c>
      <c r="B4" s="44">
        <v>45869</v>
      </c>
      <c r="C4" s="11">
        <v>24</v>
      </c>
      <c r="D4" s="13">
        <f t="shared" si="0"/>
        <v>20.88</v>
      </c>
    </row>
    <row r="5" spans="1:7" ht="15.75" thickBot="1" x14ac:dyDescent="0.3">
      <c r="A5" s="13">
        <v>0.87</v>
      </c>
      <c r="B5" s="44">
        <v>45838</v>
      </c>
      <c r="C5" s="11">
        <v>16</v>
      </c>
      <c r="D5" s="13">
        <f t="shared" si="0"/>
        <v>13.92</v>
      </c>
    </row>
    <row r="6" spans="1:7" ht="15.75" thickBot="1" x14ac:dyDescent="0.3">
      <c r="A6" s="13">
        <v>0.83</v>
      </c>
      <c r="B6" s="44">
        <v>45808</v>
      </c>
      <c r="C6" s="11">
        <v>12</v>
      </c>
      <c r="D6" s="13">
        <f t="shared" si="0"/>
        <v>9.9600000000000009</v>
      </c>
    </row>
    <row r="7" spans="1:7" ht="15.75" thickBot="1" x14ac:dyDescent="0.3">
      <c r="A7" s="13">
        <v>0.83</v>
      </c>
      <c r="B7" s="44">
        <v>45777</v>
      </c>
      <c r="C7" s="11">
        <v>10</v>
      </c>
      <c r="D7" s="13">
        <f t="shared" si="0"/>
        <v>8.3000000000000007</v>
      </c>
    </row>
    <row r="8" spans="1:7" ht="15.75" thickBot="1" x14ac:dyDescent="0.3">
      <c r="A8" s="13">
        <v>0.83</v>
      </c>
      <c r="B8" s="44">
        <v>45747</v>
      </c>
      <c r="C8" s="11">
        <v>10</v>
      </c>
      <c r="D8" s="13">
        <f t="shared" si="0"/>
        <v>8.3000000000000007</v>
      </c>
    </row>
    <row r="9" spans="1:7" ht="15.75" thickBot="1" x14ac:dyDescent="0.3">
      <c r="A9" s="13">
        <v>0.83</v>
      </c>
      <c r="B9" s="44">
        <v>45716</v>
      </c>
      <c r="C9" s="11">
        <v>10</v>
      </c>
      <c r="D9" s="13">
        <f t="shared" si="0"/>
        <v>8.3000000000000007</v>
      </c>
    </row>
    <row r="10" spans="1:7" ht="15.75" thickBot="1" x14ac:dyDescent="0.3">
      <c r="A10" s="13">
        <v>0.83</v>
      </c>
      <c r="B10" s="44">
        <v>45688</v>
      </c>
      <c r="C10" s="11">
        <v>7</v>
      </c>
      <c r="D10" s="13">
        <f t="shared" si="0"/>
        <v>5.81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9385E50-ED21-41BF-BBB6-E074AD13A076}">
  <sheetPr>
    <tabColor theme="9"/>
  </sheetPr>
  <dimension ref="A1:G11"/>
  <sheetViews>
    <sheetView workbookViewId="0">
      <selection activeCell="G6" sqref="G2:G6"/>
    </sheetView>
  </sheetViews>
  <sheetFormatPr defaultRowHeight="15" x14ac:dyDescent="0.25"/>
  <cols>
    <col min="1" max="2" width="23.42578125" customWidth="1"/>
    <col min="3" max="3" width="14.85546875" bestFit="1" customWidth="1"/>
  </cols>
  <sheetData>
    <row r="1" spans="1:7" ht="24.75" customHeight="1" thickBot="1" x14ac:dyDescent="0.3">
      <c r="A1" s="10" t="s">
        <v>0</v>
      </c>
      <c r="B1" s="10" t="s">
        <v>1</v>
      </c>
      <c r="C1" s="10" t="s">
        <v>9</v>
      </c>
      <c r="D1" s="10" t="s">
        <v>8</v>
      </c>
    </row>
    <row r="2" spans="1:7" ht="15.75" thickBot="1" x14ac:dyDescent="0.3">
      <c r="A2" s="11" t="s">
        <v>2</v>
      </c>
      <c r="B2" s="44">
        <v>45930</v>
      </c>
      <c r="C2" s="11">
        <v>14</v>
      </c>
      <c r="D2" s="13">
        <f>ROUND(C2*A2, 2)</f>
        <v>23.24</v>
      </c>
      <c r="G2" s="21"/>
    </row>
    <row r="3" spans="1:7" ht="15.75" thickBot="1" x14ac:dyDescent="0.3">
      <c r="A3" s="11" t="s">
        <v>2</v>
      </c>
      <c r="B3" s="44">
        <v>45900</v>
      </c>
      <c r="C3" s="11">
        <v>14</v>
      </c>
      <c r="D3" s="13">
        <f t="shared" ref="D3:D11" si="0">ROUND(C3*A3, 2)</f>
        <v>23.24</v>
      </c>
    </row>
    <row r="4" spans="1:7" ht="15.75" thickBot="1" x14ac:dyDescent="0.3">
      <c r="A4" s="13">
        <v>1.744</v>
      </c>
      <c r="B4" s="44">
        <v>45869</v>
      </c>
      <c r="C4" s="11">
        <v>14</v>
      </c>
      <c r="D4" s="13">
        <f t="shared" si="0"/>
        <v>24.42</v>
      </c>
    </row>
    <row r="5" spans="1:7" ht="15.75" thickBot="1" x14ac:dyDescent="0.3">
      <c r="A5" s="11" t="s">
        <v>4</v>
      </c>
      <c r="B5" s="44">
        <v>45838</v>
      </c>
      <c r="C5" s="11">
        <v>10</v>
      </c>
      <c r="D5" s="13">
        <f t="shared" si="0"/>
        <v>17.100000000000001</v>
      </c>
    </row>
    <row r="6" spans="1:7" ht="15.75" thickBot="1" x14ac:dyDescent="0.3">
      <c r="A6" s="11" t="s">
        <v>6</v>
      </c>
      <c r="B6" s="44">
        <v>45808</v>
      </c>
      <c r="C6" s="11">
        <v>8</v>
      </c>
      <c r="D6" s="13">
        <f t="shared" si="0"/>
        <v>13.6</v>
      </c>
    </row>
    <row r="7" spans="1:7" ht="15.75" thickBot="1" x14ac:dyDescent="0.3">
      <c r="A7" s="11" t="s">
        <v>5</v>
      </c>
      <c r="B7" s="44">
        <v>45777</v>
      </c>
      <c r="C7" s="11">
        <v>7</v>
      </c>
      <c r="D7" s="13">
        <f t="shared" si="0"/>
        <v>11.2</v>
      </c>
    </row>
    <row r="8" spans="1:7" ht="15.75" thickBot="1" x14ac:dyDescent="0.3">
      <c r="A8" s="11" t="s">
        <v>5</v>
      </c>
      <c r="B8" s="44">
        <v>45747</v>
      </c>
      <c r="C8" s="11">
        <v>7</v>
      </c>
      <c r="D8" s="13">
        <f t="shared" si="0"/>
        <v>11.2</v>
      </c>
    </row>
    <row r="9" spans="1:7" ht="15.75" thickBot="1" x14ac:dyDescent="0.3">
      <c r="A9" s="11" t="s">
        <v>5</v>
      </c>
      <c r="B9" s="44">
        <v>45716</v>
      </c>
      <c r="C9" s="11">
        <v>7</v>
      </c>
      <c r="D9" s="13">
        <f t="shared" si="0"/>
        <v>11.2</v>
      </c>
    </row>
    <row r="10" spans="1:7" ht="15.75" thickBot="1" x14ac:dyDescent="0.3">
      <c r="A10" s="11" t="s">
        <v>3</v>
      </c>
      <c r="B10" s="44">
        <v>45688</v>
      </c>
      <c r="C10" s="11">
        <v>4</v>
      </c>
      <c r="D10" s="13">
        <f t="shared" si="0"/>
        <v>6.36</v>
      </c>
    </row>
    <row r="11" spans="1:7" ht="15.75" thickBot="1" x14ac:dyDescent="0.3">
      <c r="A11" s="13">
        <v>1.5674999999999999</v>
      </c>
      <c r="B11" s="44">
        <v>45657</v>
      </c>
      <c r="C11" s="11">
        <v>4</v>
      </c>
      <c r="D11" s="13">
        <f t="shared" si="0"/>
        <v>6.27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1887B1B-2A36-4EDC-ABAE-5698E3E622D4}">
  <sheetPr>
    <tabColor theme="9"/>
  </sheetPr>
  <dimension ref="A1:D2"/>
  <sheetViews>
    <sheetView workbookViewId="0">
      <selection activeCell="H2" sqref="H2"/>
    </sheetView>
  </sheetViews>
  <sheetFormatPr defaultRowHeight="15" x14ac:dyDescent="0.25"/>
  <cols>
    <col min="1" max="1" width="18.42578125" bestFit="1" customWidth="1"/>
    <col min="2" max="2" width="21.85546875" bestFit="1" customWidth="1"/>
    <col min="3" max="3" width="11.85546875" customWidth="1"/>
  </cols>
  <sheetData>
    <row r="1" spans="1:4" ht="22.5" customHeight="1" thickBot="1" x14ac:dyDescent="0.3">
      <c r="A1" s="10" t="s">
        <v>0</v>
      </c>
      <c r="B1" s="10" t="s">
        <v>1</v>
      </c>
      <c r="C1" s="10" t="s">
        <v>7</v>
      </c>
      <c r="D1" s="10" t="s">
        <v>8</v>
      </c>
    </row>
    <row r="2" spans="1:4" ht="15.75" thickBot="1" x14ac:dyDescent="0.3">
      <c r="A2" s="11">
        <v>9.1999999999999998E-2</v>
      </c>
      <c r="B2" s="44">
        <v>45930</v>
      </c>
      <c r="C2" s="11">
        <v>60</v>
      </c>
      <c r="D2" s="13">
        <f>ROUND(C2*A2, 2)</f>
        <v>5.52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C9B5C2A-C307-4A3E-823D-2CC7943AF583}">
  <sheetPr>
    <tabColor theme="9"/>
  </sheetPr>
  <dimension ref="A1:R53"/>
  <sheetViews>
    <sheetView tabSelected="1" workbookViewId="0">
      <selection activeCell="C7" sqref="C7"/>
    </sheetView>
  </sheetViews>
  <sheetFormatPr defaultRowHeight="15" x14ac:dyDescent="0.25"/>
  <cols>
    <col min="1" max="1" width="22.7109375" style="1" customWidth="1"/>
    <col min="2" max="2" width="22.7109375" style="2" customWidth="1"/>
    <col min="3" max="3" width="14.85546875" style="22" bestFit="1" customWidth="1"/>
    <col min="5" max="5" width="10" bestFit="1" customWidth="1"/>
    <col min="7" max="7" width="16.7109375" customWidth="1"/>
    <col min="12" max="12" width="10.5703125" bestFit="1" customWidth="1"/>
  </cols>
  <sheetData>
    <row r="1" spans="1:18" ht="26.25" customHeight="1" thickBot="1" x14ac:dyDescent="0.3">
      <c r="A1" s="10" t="s">
        <v>0</v>
      </c>
      <c r="B1" s="12" t="s">
        <v>1</v>
      </c>
      <c r="C1" s="10" t="s">
        <v>9</v>
      </c>
      <c r="D1" s="10" t="s">
        <v>8</v>
      </c>
      <c r="E1" s="56" t="s">
        <v>12</v>
      </c>
      <c r="G1" s="57" t="s">
        <v>13</v>
      </c>
    </row>
    <row r="2" spans="1:18" ht="18" customHeight="1" thickBot="1" x14ac:dyDescent="0.3">
      <c r="A2" s="10">
        <v>0.09</v>
      </c>
      <c r="B2" s="44">
        <v>45930</v>
      </c>
      <c r="C2" s="10">
        <v>374</v>
      </c>
      <c r="D2" s="13">
        <f>C2*A2</f>
        <v>33.659999999999997</v>
      </c>
      <c r="E2">
        <v>374</v>
      </c>
      <c r="K2" s="21"/>
      <c r="L2" s="21"/>
    </row>
    <row r="3" spans="1:18" ht="15.75" thickBot="1" x14ac:dyDescent="0.3">
      <c r="A3" s="11">
        <v>0.09</v>
      </c>
      <c r="B3" s="44">
        <v>45900</v>
      </c>
      <c r="C3" s="11">
        <v>335</v>
      </c>
      <c r="D3" s="13">
        <f>C3*A3</f>
        <v>30.15</v>
      </c>
      <c r="E3">
        <v>335</v>
      </c>
      <c r="G3">
        <f>E2-E3</f>
        <v>39</v>
      </c>
      <c r="L3">
        <f>27-52</f>
        <v>-25</v>
      </c>
    </row>
    <row r="4" spans="1:18" ht="15.75" thickBot="1" x14ac:dyDescent="0.3">
      <c r="A4" s="11">
        <v>0.09</v>
      </c>
      <c r="B4" s="44">
        <v>45869</v>
      </c>
      <c r="C4" s="11">
        <v>335</v>
      </c>
      <c r="D4" s="13">
        <f t="shared" ref="D4:D52" si="0">C4*A4</f>
        <v>30.15</v>
      </c>
      <c r="E4">
        <v>335</v>
      </c>
    </row>
    <row r="5" spans="1:18" ht="15.75" thickBot="1" x14ac:dyDescent="0.3">
      <c r="A5" s="11">
        <v>0.09</v>
      </c>
      <c r="B5" s="44">
        <v>45838</v>
      </c>
      <c r="C5" s="11">
        <v>310</v>
      </c>
      <c r="D5" s="13">
        <f t="shared" si="0"/>
        <v>27.9</v>
      </c>
      <c r="E5">
        <v>310</v>
      </c>
      <c r="G5">
        <f t="shared" ref="G5:G53" si="1">E4-E5</f>
        <v>25</v>
      </c>
      <c r="K5">
        <f>310</f>
        <v>310</v>
      </c>
    </row>
    <row r="6" spans="1:18" ht="15.75" thickBot="1" x14ac:dyDescent="0.3">
      <c r="A6" s="11">
        <v>0.09</v>
      </c>
      <c r="B6" s="44">
        <v>45808</v>
      </c>
      <c r="C6" s="11">
        <v>310</v>
      </c>
      <c r="D6" s="13">
        <f t="shared" si="0"/>
        <v>27.9</v>
      </c>
      <c r="E6">
        <v>310</v>
      </c>
      <c r="L6" s="21"/>
      <c r="N6" s="46">
        <v>45771</v>
      </c>
      <c r="O6">
        <v>23</v>
      </c>
    </row>
    <row r="7" spans="1:18" ht="15.75" thickBot="1" x14ac:dyDescent="0.3">
      <c r="A7" s="23">
        <v>0.83299999999999996</v>
      </c>
      <c r="B7" s="44">
        <v>45777</v>
      </c>
      <c r="C7" s="24">
        <v>27</v>
      </c>
      <c r="D7" s="23">
        <f t="shared" si="0"/>
        <v>22.491</v>
      </c>
      <c r="E7" s="50">
        <f>C7*(310/27)</f>
        <v>310</v>
      </c>
      <c r="F7" s="50"/>
      <c r="H7" s="50"/>
      <c r="I7" s="50"/>
      <c r="J7" s="50"/>
      <c r="N7" s="46">
        <v>45779</v>
      </c>
      <c r="O7">
        <v>27</v>
      </c>
      <c r="P7" s="47" t="s">
        <v>10</v>
      </c>
    </row>
    <row r="8" spans="1:18" ht="15.75" thickBot="1" x14ac:dyDescent="0.3">
      <c r="A8" s="25">
        <v>0.9</v>
      </c>
      <c r="B8" s="44">
        <v>45747</v>
      </c>
      <c r="C8" s="22">
        <v>21</v>
      </c>
      <c r="D8" s="25">
        <f t="shared" si="0"/>
        <v>18.900000000000002</v>
      </c>
      <c r="E8" s="50">
        <f t="shared" ref="E8:E53" si="2">C8*(310/27)</f>
        <v>241.11111111111109</v>
      </c>
      <c r="F8" s="50"/>
      <c r="G8" s="49">
        <f t="shared" si="1"/>
        <v>68.888888888888914</v>
      </c>
      <c r="H8" s="50">
        <f>C7-C8</f>
        <v>6</v>
      </c>
      <c r="I8" s="52">
        <f>G8/H8</f>
        <v>11.481481481481486</v>
      </c>
      <c r="J8" s="50"/>
      <c r="N8" s="46">
        <v>45835</v>
      </c>
      <c r="O8">
        <v>27</v>
      </c>
      <c r="R8">
        <f>52-27</f>
        <v>25</v>
      </c>
    </row>
    <row r="9" spans="1:18" ht="15.75" thickBot="1" x14ac:dyDescent="0.3">
      <c r="A9" s="13">
        <v>1.04</v>
      </c>
      <c r="B9" s="44">
        <v>45716</v>
      </c>
      <c r="C9" s="22">
        <v>17</v>
      </c>
      <c r="D9" s="13">
        <f t="shared" si="0"/>
        <v>17.68</v>
      </c>
      <c r="E9" s="50">
        <f t="shared" si="2"/>
        <v>195.18518518518516</v>
      </c>
      <c r="F9" s="50"/>
      <c r="G9" s="49">
        <f t="shared" si="1"/>
        <v>45.925925925925924</v>
      </c>
      <c r="H9" s="50">
        <f t="shared" ref="H9:H53" si="3">C8-C9</f>
        <v>4</v>
      </c>
      <c r="I9" s="50"/>
      <c r="J9" s="50"/>
      <c r="N9" s="46">
        <v>45842</v>
      </c>
      <c r="O9">
        <v>52</v>
      </c>
      <c r="P9" s="47" t="s">
        <v>11</v>
      </c>
    </row>
    <row r="10" spans="1:18" ht="15.75" thickBot="1" x14ac:dyDescent="0.3">
      <c r="A10" s="13">
        <v>1</v>
      </c>
      <c r="B10" s="44">
        <v>45688</v>
      </c>
      <c r="C10" s="22">
        <v>17</v>
      </c>
      <c r="D10" s="13">
        <f t="shared" si="0"/>
        <v>17</v>
      </c>
      <c r="E10" s="50">
        <f t="shared" si="2"/>
        <v>195.18518518518516</v>
      </c>
      <c r="F10" s="50"/>
      <c r="G10" s="49"/>
      <c r="H10" s="50"/>
      <c r="I10" s="50"/>
      <c r="J10" s="50"/>
    </row>
    <row r="11" spans="1:18" ht="15.75" thickBot="1" x14ac:dyDescent="0.3">
      <c r="A11" s="13">
        <v>0.9</v>
      </c>
      <c r="B11" s="44">
        <v>45657</v>
      </c>
      <c r="C11" s="22">
        <v>12</v>
      </c>
      <c r="D11" s="13">
        <f t="shared" si="0"/>
        <v>10.8</v>
      </c>
      <c r="E11" s="50">
        <f t="shared" si="2"/>
        <v>137.77777777777777</v>
      </c>
      <c r="F11" s="50"/>
      <c r="G11" s="49">
        <f t="shared" si="1"/>
        <v>57.407407407407391</v>
      </c>
      <c r="H11" s="50">
        <f t="shared" si="3"/>
        <v>5</v>
      </c>
      <c r="I11" s="50"/>
      <c r="J11" s="50"/>
      <c r="L11">
        <f>310/27</f>
        <v>11.481481481481481</v>
      </c>
    </row>
    <row r="12" spans="1:18" ht="15.75" thickBot="1" x14ac:dyDescent="0.3">
      <c r="A12" s="13">
        <v>8.4</v>
      </c>
      <c r="B12" s="44">
        <v>45626</v>
      </c>
      <c r="C12" s="22">
        <v>12</v>
      </c>
      <c r="D12" s="13">
        <f t="shared" si="0"/>
        <v>100.80000000000001</v>
      </c>
      <c r="E12" s="50">
        <f t="shared" si="2"/>
        <v>137.77777777777777</v>
      </c>
      <c r="F12" s="50"/>
      <c r="G12" s="49"/>
      <c r="H12" s="50"/>
      <c r="I12" s="50"/>
      <c r="J12" s="50"/>
      <c r="N12" s="48">
        <v>45809</v>
      </c>
      <c r="O12">
        <v>310</v>
      </c>
    </row>
    <row r="13" spans="1:18" ht="15.75" thickBot="1" x14ac:dyDescent="0.3">
      <c r="A13" s="13">
        <v>1.33</v>
      </c>
      <c r="B13" s="44">
        <v>45596</v>
      </c>
      <c r="C13" s="22">
        <v>12</v>
      </c>
      <c r="D13" s="13">
        <f t="shared" si="0"/>
        <v>15.96</v>
      </c>
      <c r="E13" s="50">
        <f t="shared" si="2"/>
        <v>137.77777777777777</v>
      </c>
      <c r="F13" s="50"/>
      <c r="G13" s="49"/>
      <c r="H13" s="50"/>
      <c r="I13" s="50"/>
      <c r="J13" s="50"/>
      <c r="N13" s="48">
        <v>45839</v>
      </c>
      <c r="O13">
        <v>335</v>
      </c>
      <c r="P13">
        <v>25</v>
      </c>
    </row>
    <row r="14" spans="1:18" ht="15.75" thickBot="1" x14ac:dyDescent="0.3">
      <c r="A14" s="13">
        <v>1.1970000000000001</v>
      </c>
      <c r="B14" s="44">
        <v>45565</v>
      </c>
      <c r="C14" s="22">
        <v>10</v>
      </c>
      <c r="D14" s="13">
        <f t="shared" si="0"/>
        <v>11.97</v>
      </c>
      <c r="E14" s="50">
        <f t="shared" si="2"/>
        <v>114.81481481481481</v>
      </c>
      <c r="F14" s="50"/>
      <c r="G14" s="49">
        <f t="shared" si="1"/>
        <v>22.962962962962962</v>
      </c>
      <c r="H14" s="50">
        <f t="shared" si="3"/>
        <v>2</v>
      </c>
      <c r="I14" s="50"/>
      <c r="J14" s="50"/>
      <c r="N14" s="48">
        <v>45870</v>
      </c>
      <c r="O14">
        <v>335</v>
      </c>
    </row>
    <row r="15" spans="1:18" ht="15.75" thickBot="1" x14ac:dyDescent="0.3">
      <c r="A15" s="13">
        <v>1.33</v>
      </c>
      <c r="B15" s="44">
        <v>45535</v>
      </c>
      <c r="C15" s="22">
        <v>10</v>
      </c>
      <c r="D15" s="13">
        <f t="shared" si="0"/>
        <v>13.3</v>
      </c>
      <c r="E15" s="50">
        <f t="shared" si="2"/>
        <v>114.81481481481481</v>
      </c>
      <c r="F15" s="50"/>
      <c r="G15" s="49"/>
      <c r="H15" s="50"/>
      <c r="I15" s="50"/>
      <c r="J15" s="50"/>
      <c r="N15" s="48">
        <v>45901</v>
      </c>
      <c r="O15">
        <v>374</v>
      </c>
      <c r="P15">
        <f>O15-O14</f>
        <v>39</v>
      </c>
    </row>
    <row r="16" spans="1:18" ht="15.75" thickBot="1" x14ac:dyDescent="0.3">
      <c r="A16" s="13">
        <v>1.33</v>
      </c>
      <c r="B16" s="44">
        <v>45504</v>
      </c>
      <c r="C16" s="22">
        <v>10</v>
      </c>
      <c r="D16" s="13">
        <f t="shared" si="0"/>
        <v>13.3</v>
      </c>
      <c r="E16" s="50">
        <f t="shared" si="2"/>
        <v>114.81481481481481</v>
      </c>
      <c r="F16" s="50"/>
      <c r="G16" s="49"/>
      <c r="H16" s="50"/>
      <c r="I16" s="50"/>
      <c r="J16" s="50"/>
    </row>
    <row r="17" spans="1:10" ht="15.75" thickBot="1" x14ac:dyDescent="0.3">
      <c r="A17" s="13">
        <v>1.33</v>
      </c>
      <c r="B17" s="44">
        <v>45473</v>
      </c>
      <c r="C17" s="22">
        <v>9</v>
      </c>
      <c r="D17" s="13">
        <f t="shared" si="0"/>
        <v>11.97</v>
      </c>
      <c r="E17" s="50">
        <f t="shared" si="2"/>
        <v>103.33333333333333</v>
      </c>
      <c r="F17" s="50"/>
      <c r="G17" s="49">
        <f t="shared" si="1"/>
        <v>11.481481481481481</v>
      </c>
      <c r="H17" s="50">
        <f t="shared" si="3"/>
        <v>1</v>
      </c>
      <c r="I17" s="50"/>
      <c r="J17" s="50"/>
    </row>
    <row r="18" spans="1:10" ht="15.75" thickBot="1" x14ac:dyDescent="0.3">
      <c r="A18" s="13">
        <v>1.33</v>
      </c>
      <c r="B18" s="44">
        <v>45443</v>
      </c>
      <c r="C18" s="22">
        <v>9</v>
      </c>
      <c r="D18" s="13">
        <f t="shared" si="0"/>
        <v>11.97</v>
      </c>
      <c r="E18" s="50">
        <f t="shared" si="2"/>
        <v>103.33333333333333</v>
      </c>
      <c r="F18" s="50"/>
      <c r="G18" s="49"/>
      <c r="H18" s="50"/>
      <c r="I18" s="50"/>
      <c r="J18" s="50"/>
    </row>
    <row r="19" spans="1:10" ht="15.75" thickBot="1" x14ac:dyDescent="0.3">
      <c r="A19" s="13">
        <v>1.33</v>
      </c>
      <c r="B19" s="44">
        <v>45412</v>
      </c>
      <c r="C19" s="22">
        <v>9</v>
      </c>
      <c r="D19" s="13">
        <f t="shared" si="0"/>
        <v>11.97</v>
      </c>
      <c r="E19" s="50">
        <f t="shared" si="2"/>
        <v>103.33333333333333</v>
      </c>
      <c r="F19" s="50"/>
      <c r="G19" s="49"/>
      <c r="H19" s="50"/>
      <c r="I19" s="50"/>
      <c r="J19" s="50"/>
    </row>
    <row r="20" spans="1:10" ht="15.75" thickBot="1" x14ac:dyDescent="0.3">
      <c r="A20" s="13">
        <v>1.33</v>
      </c>
      <c r="B20" s="44">
        <v>45382</v>
      </c>
      <c r="C20" s="22">
        <v>7</v>
      </c>
      <c r="D20" s="13">
        <f t="shared" si="0"/>
        <v>9.31</v>
      </c>
      <c r="E20" s="50">
        <f t="shared" si="2"/>
        <v>80.370370370370367</v>
      </c>
      <c r="F20" s="50"/>
      <c r="G20" s="49">
        <f t="shared" si="1"/>
        <v>22.962962962962962</v>
      </c>
      <c r="H20" s="50">
        <f t="shared" si="3"/>
        <v>2</v>
      </c>
      <c r="I20" s="50"/>
      <c r="J20" s="50"/>
    </row>
    <row r="21" spans="1:10" ht="15.75" thickBot="1" x14ac:dyDescent="0.3">
      <c r="A21" s="13">
        <v>1.33</v>
      </c>
      <c r="B21" s="44">
        <v>45351</v>
      </c>
      <c r="C21" s="22">
        <v>7</v>
      </c>
      <c r="D21" s="13">
        <f t="shared" si="0"/>
        <v>9.31</v>
      </c>
      <c r="E21" s="50">
        <f t="shared" si="2"/>
        <v>80.370370370370367</v>
      </c>
      <c r="F21" s="50"/>
      <c r="H21" s="50"/>
      <c r="I21" s="50"/>
      <c r="J21" s="50"/>
    </row>
    <row r="22" spans="1:10" ht="15.75" thickBot="1" x14ac:dyDescent="0.3">
      <c r="A22" s="13">
        <v>1.45</v>
      </c>
      <c r="B22" s="44">
        <v>45322</v>
      </c>
      <c r="C22" s="22">
        <v>5</v>
      </c>
      <c r="D22" s="13">
        <f t="shared" si="0"/>
        <v>7.25</v>
      </c>
      <c r="E22" s="50">
        <f t="shared" si="2"/>
        <v>57.407407407407405</v>
      </c>
      <c r="F22" s="50"/>
      <c r="G22" s="21">
        <f t="shared" si="1"/>
        <v>22.962962962962962</v>
      </c>
      <c r="H22" s="50">
        <f t="shared" si="3"/>
        <v>2</v>
      </c>
      <c r="I22" s="50"/>
      <c r="J22" s="50"/>
    </row>
    <row r="23" spans="1:10" ht="15.75" thickBot="1" x14ac:dyDescent="0.3">
      <c r="A23" s="13">
        <v>1.45</v>
      </c>
      <c r="B23" s="44">
        <v>45291</v>
      </c>
      <c r="C23" s="22">
        <v>5</v>
      </c>
      <c r="D23" s="13">
        <f t="shared" si="0"/>
        <v>7.25</v>
      </c>
      <c r="E23" s="55">
        <f t="shared" si="2"/>
        <v>57.407407407407405</v>
      </c>
      <c r="F23" s="50"/>
      <c r="G23" s="21"/>
      <c r="H23" s="50"/>
      <c r="I23" s="50"/>
      <c r="J23" s="50"/>
    </row>
    <row r="24" spans="1:10" ht="15.75" thickBot="1" x14ac:dyDescent="0.3">
      <c r="A24" s="13">
        <v>1.45</v>
      </c>
      <c r="B24" s="44">
        <v>45260</v>
      </c>
      <c r="C24" s="22">
        <v>4</v>
      </c>
      <c r="D24" s="13">
        <f t="shared" si="0"/>
        <v>5.8</v>
      </c>
      <c r="E24" s="50">
        <f t="shared" si="2"/>
        <v>45.925925925925924</v>
      </c>
      <c r="F24" s="50"/>
      <c r="G24" s="21">
        <f t="shared" si="1"/>
        <v>11.481481481481481</v>
      </c>
      <c r="H24" s="50">
        <f t="shared" si="3"/>
        <v>1</v>
      </c>
      <c r="I24" s="50"/>
      <c r="J24" s="50"/>
    </row>
    <row r="25" spans="1:10" ht="15.75" thickBot="1" x14ac:dyDescent="0.3">
      <c r="A25" s="13">
        <v>1.43</v>
      </c>
      <c r="B25" s="44">
        <v>45230</v>
      </c>
      <c r="C25" s="22">
        <v>4</v>
      </c>
      <c r="D25" s="13">
        <f t="shared" si="0"/>
        <v>5.72</v>
      </c>
      <c r="E25" s="50">
        <f t="shared" si="2"/>
        <v>45.925925925925924</v>
      </c>
      <c r="F25" s="50"/>
      <c r="G25" s="21"/>
      <c r="H25" s="50"/>
      <c r="I25" s="50"/>
      <c r="J25" s="50"/>
    </row>
    <row r="26" spans="1:10" ht="15.75" thickBot="1" x14ac:dyDescent="0.3">
      <c r="A26" s="13">
        <v>1.43</v>
      </c>
      <c r="B26" s="44">
        <v>45199</v>
      </c>
      <c r="C26" s="22">
        <v>4</v>
      </c>
      <c r="D26" s="13">
        <f t="shared" si="0"/>
        <v>5.72</v>
      </c>
      <c r="E26" s="50">
        <f t="shared" si="2"/>
        <v>45.925925925925924</v>
      </c>
      <c r="F26" s="50"/>
      <c r="G26" s="21"/>
      <c r="H26" s="50"/>
      <c r="I26" s="50"/>
      <c r="J26" s="50"/>
    </row>
    <row r="27" spans="1:10" ht="15.75" thickBot="1" x14ac:dyDescent="0.3">
      <c r="A27" s="13">
        <v>1.43</v>
      </c>
      <c r="B27" s="44">
        <v>45169</v>
      </c>
      <c r="C27" s="22">
        <v>4</v>
      </c>
      <c r="D27" s="13">
        <f t="shared" si="0"/>
        <v>5.72</v>
      </c>
      <c r="E27" s="54">
        <f t="shared" si="2"/>
        <v>45.925925925925924</v>
      </c>
      <c r="F27" s="51"/>
      <c r="G27" s="21"/>
      <c r="H27" s="50"/>
      <c r="I27" s="50"/>
      <c r="J27" s="50"/>
    </row>
    <row r="28" spans="1:10" ht="15.75" thickBot="1" x14ac:dyDescent="0.3">
      <c r="A28" s="13">
        <v>1.26</v>
      </c>
      <c r="B28" s="44">
        <v>45138</v>
      </c>
      <c r="C28" s="22">
        <v>3</v>
      </c>
      <c r="D28" s="13">
        <f t="shared" si="0"/>
        <v>3.7800000000000002</v>
      </c>
      <c r="E28" s="50">
        <f t="shared" si="2"/>
        <v>34.444444444444443</v>
      </c>
      <c r="F28" s="50"/>
      <c r="G28" s="21">
        <f t="shared" si="1"/>
        <v>11.481481481481481</v>
      </c>
      <c r="H28" s="50">
        <f t="shared" si="3"/>
        <v>1</v>
      </c>
      <c r="I28" s="50"/>
      <c r="J28" s="50"/>
    </row>
    <row r="29" spans="1:10" ht="15.75" thickBot="1" x14ac:dyDescent="0.3">
      <c r="A29" s="13">
        <v>1.26</v>
      </c>
      <c r="B29" s="44">
        <v>45107</v>
      </c>
      <c r="C29" s="22">
        <v>3</v>
      </c>
      <c r="D29" s="13">
        <f t="shared" si="0"/>
        <v>3.7800000000000002</v>
      </c>
      <c r="E29" s="53">
        <f t="shared" si="2"/>
        <v>34.444444444444443</v>
      </c>
      <c r="F29" s="52"/>
      <c r="G29" s="21"/>
      <c r="H29" s="50"/>
      <c r="I29" s="50"/>
      <c r="J29" s="50"/>
    </row>
    <row r="30" spans="1:10" ht="15.75" thickBot="1" x14ac:dyDescent="0.3">
      <c r="A30" s="13">
        <v>1.26</v>
      </c>
      <c r="B30" s="44">
        <v>45077</v>
      </c>
      <c r="C30" s="22">
        <v>2</v>
      </c>
      <c r="D30" s="13">
        <f t="shared" si="0"/>
        <v>2.52</v>
      </c>
      <c r="E30" s="50">
        <f t="shared" si="2"/>
        <v>22.962962962962962</v>
      </c>
      <c r="F30" s="50"/>
      <c r="G30" s="21">
        <f t="shared" si="1"/>
        <v>11.481481481481481</v>
      </c>
      <c r="H30" s="50">
        <f t="shared" si="3"/>
        <v>1</v>
      </c>
      <c r="I30" s="50"/>
      <c r="J30" s="50"/>
    </row>
    <row r="31" spans="1:10" ht="15.75" thickBot="1" x14ac:dyDescent="0.3">
      <c r="A31" s="13">
        <v>1.26</v>
      </c>
      <c r="B31" s="44">
        <v>45046</v>
      </c>
      <c r="C31" s="22">
        <v>2</v>
      </c>
      <c r="D31" s="13">
        <f t="shared" si="0"/>
        <v>2.52</v>
      </c>
      <c r="E31" s="50">
        <f t="shared" si="2"/>
        <v>22.962962962962962</v>
      </c>
      <c r="F31" s="50"/>
      <c r="H31" s="50"/>
      <c r="I31" s="50"/>
      <c r="J31" s="50"/>
    </row>
    <row r="32" spans="1:10" ht="15.75" thickBot="1" x14ac:dyDescent="0.3">
      <c r="A32" s="13">
        <v>1.26</v>
      </c>
      <c r="B32" s="44">
        <v>45016</v>
      </c>
      <c r="C32" s="22">
        <v>2</v>
      </c>
      <c r="D32" s="13">
        <f t="shared" si="0"/>
        <v>2.52</v>
      </c>
      <c r="E32" s="50">
        <f t="shared" si="2"/>
        <v>22.962962962962962</v>
      </c>
      <c r="F32" s="50"/>
      <c r="H32" s="50"/>
      <c r="I32" s="50"/>
      <c r="J32" s="50"/>
    </row>
    <row r="33" spans="1:10" ht="15.75" thickBot="1" x14ac:dyDescent="0.3">
      <c r="A33" s="13">
        <v>1.26</v>
      </c>
      <c r="B33" s="44">
        <v>44985</v>
      </c>
      <c r="C33" s="22">
        <v>2</v>
      </c>
      <c r="D33" s="13">
        <f t="shared" si="0"/>
        <v>2.52</v>
      </c>
      <c r="E33" s="50">
        <f t="shared" si="2"/>
        <v>22.962962962962962</v>
      </c>
      <c r="F33" s="50"/>
      <c r="H33" s="50"/>
      <c r="I33" s="50"/>
      <c r="J33" s="50"/>
    </row>
    <row r="34" spans="1:10" ht="15.75" thickBot="1" x14ac:dyDescent="0.3">
      <c r="A34" s="13">
        <v>1.26</v>
      </c>
      <c r="B34" s="44">
        <v>44957</v>
      </c>
      <c r="C34" s="22">
        <v>2</v>
      </c>
      <c r="D34" s="13">
        <f t="shared" si="0"/>
        <v>2.52</v>
      </c>
      <c r="E34" s="50">
        <f t="shared" si="2"/>
        <v>22.962962962962962</v>
      </c>
      <c r="F34" s="50"/>
      <c r="H34" s="50"/>
      <c r="I34" s="50"/>
      <c r="J34" s="50"/>
    </row>
    <row r="35" spans="1:10" ht="15.75" thickBot="1" x14ac:dyDescent="0.3">
      <c r="A35" s="13">
        <v>1.23</v>
      </c>
      <c r="B35" s="44">
        <v>44926</v>
      </c>
      <c r="C35" s="22">
        <v>2</v>
      </c>
      <c r="D35" s="13">
        <f t="shared" si="0"/>
        <v>2.46</v>
      </c>
      <c r="E35" s="50">
        <f t="shared" si="2"/>
        <v>22.962962962962962</v>
      </c>
      <c r="F35" s="50"/>
      <c r="H35" s="50"/>
      <c r="I35" s="50"/>
      <c r="J35" s="50"/>
    </row>
    <row r="36" spans="1:10" ht="15.75" thickBot="1" x14ac:dyDescent="0.3">
      <c r="A36" s="13">
        <v>1.23</v>
      </c>
      <c r="B36" s="44">
        <v>44895</v>
      </c>
      <c r="C36" s="22">
        <v>2</v>
      </c>
      <c r="D36" s="13">
        <f t="shared" si="0"/>
        <v>2.46</v>
      </c>
      <c r="E36" s="50">
        <f t="shared" si="2"/>
        <v>22.962962962962962</v>
      </c>
      <c r="F36" s="50"/>
      <c r="H36" s="50"/>
      <c r="I36" s="50"/>
      <c r="J36" s="50"/>
    </row>
    <row r="37" spans="1:10" ht="15.75" thickBot="1" x14ac:dyDescent="0.3">
      <c r="A37" s="13">
        <v>1.23</v>
      </c>
      <c r="B37" s="44">
        <v>44865</v>
      </c>
      <c r="C37" s="22">
        <v>2</v>
      </c>
      <c r="D37" s="13">
        <f t="shared" si="0"/>
        <v>2.46</v>
      </c>
      <c r="E37" s="50">
        <f t="shared" si="2"/>
        <v>22.962962962962962</v>
      </c>
      <c r="F37" s="50"/>
      <c r="H37" s="50"/>
      <c r="I37" s="50"/>
      <c r="J37" s="50"/>
    </row>
    <row r="38" spans="1:10" ht="15.75" thickBot="1" x14ac:dyDescent="0.3">
      <c r="A38" s="13">
        <v>1.23</v>
      </c>
      <c r="B38" s="44">
        <v>44834</v>
      </c>
      <c r="C38" s="22">
        <v>2</v>
      </c>
      <c r="D38" s="13">
        <f t="shared" si="0"/>
        <v>2.46</v>
      </c>
      <c r="E38" s="50">
        <f t="shared" si="2"/>
        <v>22.962962962962962</v>
      </c>
      <c r="F38" s="50"/>
      <c r="H38" s="50"/>
      <c r="I38" s="50"/>
      <c r="J38" s="50"/>
    </row>
    <row r="39" spans="1:10" ht="15.75" thickBot="1" x14ac:dyDescent="0.3">
      <c r="A39" s="13">
        <v>1.18</v>
      </c>
      <c r="B39" s="44">
        <v>44804</v>
      </c>
      <c r="C39" s="22">
        <v>2</v>
      </c>
      <c r="D39" s="13">
        <f t="shared" si="0"/>
        <v>2.36</v>
      </c>
      <c r="E39" s="50">
        <f t="shared" si="2"/>
        <v>22.962962962962962</v>
      </c>
      <c r="F39" s="50"/>
      <c r="H39" s="50"/>
      <c r="I39" s="50"/>
      <c r="J39" s="50"/>
    </row>
    <row r="40" spans="1:10" ht="15.75" thickBot="1" x14ac:dyDescent="0.3">
      <c r="A40" s="13">
        <v>1.18</v>
      </c>
      <c r="B40" s="44">
        <v>44773</v>
      </c>
      <c r="C40" s="22">
        <v>2</v>
      </c>
      <c r="D40" s="13">
        <f t="shared" si="0"/>
        <v>2.36</v>
      </c>
      <c r="E40" s="50">
        <f t="shared" si="2"/>
        <v>22.962962962962962</v>
      </c>
      <c r="F40" s="50"/>
      <c r="H40" s="50"/>
      <c r="I40" s="50"/>
      <c r="J40" s="50"/>
    </row>
    <row r="41" spans="1:10" ht="15.75" thickBot="1" x14ac:dyDescent="0.3">
      <c r="A41" s="13">
        <v>1.1599999999999999</v>
      </c>
      <c r="B41" s="44">
        <v>44742</v>
      </c>
      <c r="C41" s="22">
        <v>2</v>
      </c>
      <c r="D41" s="13">
        <f t="shared" si="0"/>
        <v>2.3199999999999998</v>
      </c>
      <c r="E41" s="50">
        <f t="shared" si="2"/>
        <v>22.962962962962962</v>
      </c>
      <c r="F41" s="50"/>
      <c r="H41" s="50"/>
      <c r="I41" s="50"/>
      <c r="J41" s="50"/>
    </row>
    <row r="42" spans="1:10" ht="15.75" thickBot="1" x14ac:dyDescent="0.3">
      <c r="A42" s="13">
        <v>1.1399999999999999</v>
      </c>
      <c r="B42" s="44">
        <v>44712</v>
      </c>
      <c r="C42" s="22">
        <v>2</v>
      </c>
      <c r="D42" s="13">
        <f t="shared" si="0"/>
        <v>2.2799999999999998</v>
      </c>
      <c r="E42" s="50">
        <f t="shared" si="2"/>
        <v>22.962962962962962</v>
      </c>
      <c r="F42" s="50"/>
      <c r="H42" s="50"/>
      <c r="I42" s="50"/>
      <c r="J42" s="50"/>
    </row>
    <row r="43" spans="1:10" ht="15.75" thickBot="1" x14ac:dyDescent="0.3">
      <c r="A43" s="13">
        <v>1.1200000000000001</v>
      </c>
      <c r="B43" s="44">
        <v>44681</v>
      </c>
      <c r="C43" s="22">
        <v>2</v>
      </c>
      <c r="D43" s="13">
        <f t="shared" si="0"/>
        <v>2.2400000000000002</v>
      </c>
      <c r="E43" s="50">
        <f t="shared" si="2"/>
        <v>22.962962962962962</v>
      </c>
      <c r="F43" s="50"/>
      <c r="H43" s="50"/>
      <c r="I43" s="50"/>
      <c r="J43" s="50"/>
    </row>
    <row r="44" spans="1:10" ht="15.75" thickBot="1" x14ac:dyDescent="0.3">
      <c r="A44" s="13">
        <v>1.1200000000000001</v>
      </c>
      <c r="B44" s="44">
        <v>44651</v>
      </c>
      <c r="C44" s="22">
        <v>2</v>
      </c>
      <c r="D44" s="13">
        <f t="shared" si="0"/>
        <v>2.2400000000000002</v>
      </c>
      <c r="E44" s="50">
        <f t="shared" si="2"/>
        <v>22.962962962962962</v>
      </c>
      <c r="F44" s="50"/>
      <c r="H44" s="50"/>
      <c r="I44" s="50"/>
      <c r="J44" s="50"/>
    </row>
    <row r="45" spans="1:10" ht="15.75" thickBot="1" x14ac:dyDescent="0.3">
      <c r="A45" s="13">
        <v>1.1200000000000001</v>
      </c>
      <c r="B45" s="44">
        <v>44620</v>
      </c>
      <c r="C45" s="22">
        <v>2</v>
      </c>
      <c r="D45" s="13">
        <f t="shared" si="0"/>
        <v>2.2400000000000002</v>
      </c>
      <c r="E45" s="50">
        <f t="shared" si="2"/>
        <v>22.962962962962962</v>
      </c>
      <c r="F45" s="50"/>
      <c r="H45" s="50"/>
      <c r="I45" s="50"/>
      <c r="J45" s="50"/>
    </row>
    <row r="46" spans="1:10" ht="15.75" thickBot="1" x14ac:dyDescent="0.3">
      <c r="A46" s="13">
        <v>1.06</v>
      </c>
      <c r="B46" s="44">
        <v>44592</v>
      </c>
      <c r="C46" s="22">
        <v>2</v>
      </c>
      <c r="D46" s="13">
        <f t="shared" si="0"/>
        <v>2.12</v>
      </c>
      <c r="E46" s="50">
        <f t="shared" si="2"/>
        <v>22.962962962962962</v>
      </c>
      <c r="F46" s="50"/>
      <c r="H46" s="50"/>
      <c r="I46" s="50"/>
      <c r="J46" s="50"/>
    </row>
    <row r="47" spans="1:10" ht="15.75" thickBot="1" x14ac:dyDescent="0.3">
      <c r="A47" s="13">
        <v>1.06</v>
      </c>
      <c r="B47" s="44">
        <v>44561</v>
      </c>
      <c r="C47" s="22">
        <v>2</v>
      </c>
      <c r="D47" s="13">
        <f t="shared" si="0"/>
        <v>2.12</v>
      </c>
      <c r="E47" s="50">
        <f t="shared" si="2"/>
        <v>22.962962962962962</v>
      </c>
      <c r="F47" s="50"/>
      <c r="H47" s="50"/>
      <c r="I47" s="50"/>
      <c r="J47" s="50"/>
    </row>
    <row r="48" spans="1:10" ht="15.75" thickBot="1" x14ac:dyDescent="0.3">
      <c r="A48" s="13">
        <v>1.06</v>
      </c>
      <c r="B48" s="44">
        <v>44530</v>
      </c>
      <c r="C48" s="22">
        <v>2</v>
      </c>
      <c r="D48" s="13">
        <f t="shared" si="0"/>
        <v>2.12</v>
      </c>
      <c r="E48" s="50">
        <f t="shared" si="2"/>
        <v>22.962962962962962</v>
      </c>
      <c r="F48" s="50"/>
      <c r="H48" s="50"/>
      <c r="I48" s="50"/>
      <c r="J48" s="50"/>
    </row>
    <row r="49" spans="1:10" ht="15.75" thickBot="1" x14ac:dyDescent="0.3">
      <c r="A49" s="13">
        <v>1.06</v>
      </c>
      <c r="B49" s="44">
        <v>44500</v>
      </c>
      <c r="C49" s="22">
        <v>2</v>
      </c>
      <c r="D49" s="13">
        <f t="shared" si="0"/>
        <v>2.12</v>
      </c>
      <c r="E49" s="50">
        <f t="shared" si="2"/>
        <v>22.962962962962962</v>
      </c>
      <c r="F49" s="50"/>
      <c r="H49" s="50"/>
      <c r="I49" s="50"/>
      <c r="J49" s="50"/>
    </row>
    <row r="50" spans="1:10" ht="15.75" thickBot="1" x14ac:dyDescent="0.3">
      <c r="A50" s="13">
        <v>1.03</v>
      </c>
      <c r="B50" s="44">
        <v>44469</v>
      </c>
      <c r="C50" s="22">
        <v>2</v>
      </c>
      <c r="D50" s="13">
        <f t="shared" si="0"/>
        <v>2.06</v>
      </c>
      <c r="E50" s="50">
        <f t="shared" si="2"/>
        <v>22.962962962962962</v>
      </c>
      <c r="F50" s="50"/>
      <c r="H50" s="50"/>
      <c r="I50" s="50"/>
      <c r="J50" s="50"/>
    </row>
    <row r="51" spans="1:10" ht="15.75" thickBot="1" x14ac:dyDescent="0.3">
      <c r="A51" s="13">
        <v>1.03</v>
      </c>
      <c r="B51" s="44">
        <v>44439</v>
      </c>
      <c r="C51" s="22">
        <v>2</v>
      </c>
      <c r="D51" s="13">
        <f t="shared" si="0"/>
        <v>2.06</v>
      </c>
      <c r="E51" s="50">
        <f t="shared" si="2"/>
        <v>22.962962962962962</v>
      </c>
      <c r="F51" s="50"/>
      <c r="H51" s="50"/>
      <c r="I51" s="50"/>
      <c r="J51" s="50"/>
    </row>
    <row r="52" spans="1:10" ht="15.75" thickBot="1" x14ac:dyDescent="0.3">
      <c r="A52" s="13">
        <v>1.03</v>
      </c>
      <c r="B52" s="44">
        <v>44408</v>
      </c>
      <c r="C52" s="22">
        <v>2</v>
      </c>
      <c r="D52" s="13">
        <f t="shared" si="0"/>
        <v>2.06</v>
      </c>
      <c r="E52" s="55">
        <f t="shared" si="2"/>
        <v>22.962962962962962</v>
      </c>
      <c r="F52" s="53"/>
      <c r="H52" s="50"/>
      <c r="I52" s="50"/>
      <c r="J52" s="50"/>
    </row>
    <row r="53" spans="1:10" ht="15.75" thickBot="1" x14ac:dyDescent="0.3">
      <c r="A53" s="13">
        <v>1.02</v>
      </c>
      <c r="B53" s="44">
        <v>44377</v>
      </c>
      <c r="C53" s="22">
        <v>1</v>
      </c>
      <c r="D53" s="13">
        <v>1.04</v>
      </c>
      <c r="E53" s="50">
        <f t="shared" si="2"/>
        <v>11.481481481481481</v>
      </c>
      <c r="F53" s="50"/>
      <c r="G53" s="21">
        <f t="shared" si="1"/>
        <v>11.481481481481481</v>
      </c>
      <c r="H53" s="50">
        <f t="shared" si="3"/>
        <v>1</v>
      </c>
      <c r="I53" s="50"/>
      <c r="J53" s="50"/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3153078-5964-4204-B453-C15607569A56}">
  <sheetPr>
    <tabColor theme="9"/>
  </sheetPr>
  <dimension ref="A1:H33"/>
  <sheetViews>
    <sheetView topLeftCell="A26" workbookViewId="0">
      <selection activeCell="K12" sqref="H1:K12"/>
    </sheetView>
  </sheetViews>
  <sheetFormatPr defaultRowHeight="15" x14ac:dyDescent="0.25"/>
  <cols>
    <col min="1" max="1" width="18.42578125" style="1" bestFit="1" customWidth="1"/>
    <col min="2" max="2" width="21.85546875" style="2" bestFit="1" customWidth="1"/>
    <col min="3" max="3" width="14.85546875" style="22" bestFit="1" customWidth="1"/>
  </cols>
  <sheetData>
    <row r="1" spans="1:8" ht="18" customHeight="1" thickBot="1" x14ac:dyDescent="0.3">
      <c r="A1" s="7" t="s">
        <v>0</v>
      </c>
      <c r="B1" s="8" t="s">
        <v>1</v>
      </c>
      <c r="C1" s="10" t="s">
        <v>9</v>
      </c>
      <c r="D1" s="10" t="s">
        <v>8</v>
      </c>
    </row>
    <row r="2" spans="1:8" ht="15" customHeight="1" thickBot="1" x14ac:dyDescent="0.3">
      <c r="A2" s="15">
        <v>1.05</v>
      </c>
      <c r="B2" s="44">
        <v>45930</v>
      </c>
      <c r="C2" s="22">
        <v>33</v>
      </c>
      <c r="D2">
        <f>ROUND(C2*A2,2)</f>
        <v>34.65</v>
      </c>
      <c r="H2" s="26"/>
    </row>
    <row r="3" spans="1:8" ht="15" customHeight="1" thickBot="1" x14ac:dyDescent="0.3">
      <c r="A3" s="15">
        <v>1.05</v>
      </c>
      <c r="B3" s="44">
        <v>45900</v>
      </c>
      <c r="C3" s="22">
        <v>33</v>
      </c>
      <c r="D3">
        <f t="shared" ref="D3:D33" si="0">ROUND(C3*A3,2)</f>
        <v>34.65</v>
      </c>
    </row>
    <row r="4" spans="1:8" ht="15" customHeight="1" thickBot="1" x14ac:dyDescent="0.3">
      <c r="A4" s="15">
        <v>1.03</v>
      </c>
      <c r="B4" s="44">
        <v>45869</v>
      </c>
      <c r="C4" s="22">
        <v>33</v>
      </c>
      <c r="D4">
        <f t="shared" si="0"/>
        <v>33.99</v>
      </c>
    </row>
    <row r="5" spans="1:8" ht="15" customHeight="1" thickBot="1" x14ac:dyDescent="0.3">
      <c r="A5" s="15">
        <v>1.03</v>
      </c>
      <c r="B5" s="44">
        <v>45838</v>
      </c>
      <c r="C5" s="22">
        <v>28</v>
      </c>
      <c r="D5">
        <f t="shared" si="0"/>
        <v>28.84</v>
      </c>
    </row>
    <row r="6" spans="1:8" ht="15" customHeight="1" thickBot="1" x14ac:dyDescent="0.3">
      <c r="A6" s="15">
        <v>1.03</v>
      </c>
      <c r="B6" s="44">
        <v>45808</v>
      </c>
      <c r="C6" s="22">
        <v>28</v>
      </c>
      <c r="D6">
        <f t="shared" si="0"/>
        <v>28.84</v>
      </c>
    </row>
    <row r="7" spans="1:8" ht="15" customHeight="1" thickBot="1" x14ac:dyDescent="0.3">
      <c r="A7" s="15">
        <v>1.03</v>
      </c>
      <c r="B7" s="44">
        <v>45777</v>
      </c>
      <c r="C7" s="22">
        <v>26</v>
      </c>
      <c r="D7">
        <f t="shared" si="0"/>
        <v>26.78</v>
      </c>
    </row>
    <row r="8" spans="1:8" ht="15" customHeight="1" thickBot="1" x14ac:dyDescent="0.3">
      <c r="A8" s="15">
        <v>1.03</v>
      </c>
      <c r="B8" s="44">
        <v>45747</v>
      </c>
      <c r="C8" s="22">
        <v>24</v>
      </c>
      <c r="D8">
        <f t="shared" si="0"/>
        <v>24.72</v>
      </c>
    </row>
    <row r="9" spans="1:8" ht="15" customHeight="1" thickBot="1" x14ac:dyDescent="0.3">
      <c r="A9" s="15">
        <v>1.03</v>
      </c>
      <c r="B9" s="44">
        <v>45716</v>
      </c>
      <c r="C9" s="22">
        <v>24</v>
      </c>
      <c r="D9">
        <f t="shared" si="0"/>
        <v>24.72</v>
      </c>
    </row>
    <row r="10" spans="1:8" ht="15" customHeight="1" thickBot="1" x14ac:dyDescent="0.3">
      <c r="A10" s="15">
        <v>0.98</v>
      </c>
      <c r="B10" s="44">
        <v>45688</v>
      </c>
      <c r="C10" s="22">
        <v>24</v>
      </c>
      <c r="D10">
        <f t="shared" si="0"/>
        <v>23.52</v>
      </c>
    </row>
    <row r="11" spans="1:8" ht="15.75" thickBot="1" x14ac:dyDescent="0.3">
      <c r="A11" s="9">
        <v>0.98</v>
      </c>
      <c r="B11" s="44">
        <v>45657</v>
      </c>
      <c r="C11" s="22">
        <v>19</v>
      </c>
      <c r="D11">
        <f t="shared" si="0"/>
        <v>18.62</v>
      </c>
    </row>
    <row r="12" spans="1:8" ht="15.75" thickBot="1" x14ac:dyDescent="0.3">
      <c r="A12" s="9">
        <v>0.98</v>
      </c>
      <c r="B12" s="44">
        <v>45626</v>
      </c>
      <c r="C12" s="22">
        <v>19</v>
      </c>
      <c r="D12">
        <f t="shared" si="0"/>
        <v>18.62</v>
      </c>
    </row>
    <row r="13" spans="1:8" ht="15.75" thickBot="1" x14ac:dyDescent="0.3">
      <c r="A13" s="9">
        <v>0.98</v>
      </c>
      <c r="B13" s="44">
        <v>45596</v>
      </c>
      <c r="C13" s="22">
        <v>13</v>
      </c>
      <c r="D13">
        <f t="shared" si="0"/>
        <v>12.74</v>
      </c>
    </row>
    <row r="14" spans="1:8" ht="15.75" thickBot="1" x14ac:dyDescent="0.3">
      <c r="A14" s="9">
        <v>0.89500000000000002</v>
      </c>
      <c r="B14" s="44">
        <v>45565</v>
      </c>
      <c r="C14" s="22">
        <v>13</v>
      </c>
      <c r="D14">
        <f t="shared" si="0"/>
        <v>11.64</v>
      </c>
    </row>
    <row r="15" spans="1:8" ht="15.75" thickBot="1" x14ac:dyDescent="0.3">
      <c r="A15" s="9">
        <v>0.98</v>
      </c>
      <c r="B15" s="44">
        <v>45535</v>
      </c>
      <c r="C15" s="22">
        <v>13</v>
      </c>
      <c r="D15">
        <f t="shared" si="0"/>
        <v>12.74</v>
      </c>
    </row>
    <row r="16" spans="1:8" ht="15.75" thickBot="1" x14ac:dyDescent="0.3">
      <c r="A16" s="9">
        <v>0.97</v>
      </c>
      <c r="B16" s="44">
        <v>45504</v>
      </c>
      <c r="C16" s="22">
        <v>13</v>
      </c>
      <c r="D16">
        <f t="shared" si="0"/>
        <v>12.61</v>
      </c>
    </row>
    <row r="17" spans="1:4" ht="15.75" thickBot="1" x14ac:dyDescent="0.3">
      <c r="A17" s="9">
        <v>0.97</v>
      </c>
      <c r="B17" s="44">
        <v>45473</v>
      </c>
      <c r="C17" s="22">
        <v>12</v>
      </c>
      <c r="D17">
        <f t="shared" si="0"/>
        <v>11.64</v>
      </c>
    </row>
    <row r="18" spans="1:4" ht="15.75" thickBot="1" x14ac:dyDescent="0.3">
      <c r="A18" s="9">
        <v>0.97</v>
      </c>
      <c r="B18" s="44">
        <v>45443</v>
      </c>
      <c r="C18" s="22">
        <v>12</v>
      </c>
      <c r="D18">
        <f t="shared" si="0"/>
        <v>11.64</v>
      </c>
    </row>
    <row r="19" spans="1:4" ht="15.75" thickBot="1" x14ac:dyDescent="0.3">
      <c r="A19" s="9">
        <v>0.97</v>
      </c>
      <c r="B19" s="44">
        <v>45412</v>
      </c>
      <c r="C19" s="22">
        <v>12</v>
      </c>
      <c r="D19">
        <f t="shared" si="0"/>
        <v>11.64</v>
      </c>
    </row>
    <row r="20" spans="1:4" ht="15.75" thickBot="1" x14ac:dyDescent="0.3">
      <c r="A20" s="9">
        <v>0.97</v>
      </c>
      <c r="B20" s="44">
        <v>45382</v>
      </c>
      <c r="C20" s="22">
        <v>10</v>
      </c>
      <c r="D20">
        <f t="shared" si="0"/>
        <v>9.6999999999999993</v>
      </c>
    </row>
    <row r="21" spans="1:4" ht="15.75" thickBot="1" x14ac:dyDescent="0.3">
      <c r="A21" s="9">
        <v>0.97</v>
      </c>
      <c r="B21" s="44">
        <v>45351</v>
      </c>
      <c r="C21" s="22">
        <v>10</v>
      </c>
      <c r="D21">
        <f t="shared" si="0"/>
        <v>9.6999999999999993</v>
      </c>
    </row>
    <row r="22" spans="1:4" ht="15.75" thickBot="1" x14ac:dyDescent="0.3">
      <c r="A22" s="9">
        <v>0.91</v>
      </c>
      <c r="B22" s="44">
        <v>45322</v>
      </c>
      <c r="C22" s="22">
        <v>10</v>
      </c>
      <c r="D22">
        <f t="shared" si="0"/>
        <v>9.1</v>
      </c>
    </row>
    <row r="23" spans="1:4" ht="15.75" thickBot="1" x14ac:dyDescent="0.3">
      <c r="A23" s="9">
        <v>0.91</v>
      </c>
      <c r="B23" s="44">
        <v>45291</v>
      </c>
      <c r="C23" s="22">
        <v>10</v>
      </c>
      <c r="D23">
        <f t="shared" si="0"/>
        <v>9.1</v>
      </c>
    </row>
    <row r="24" spans="1:4" ht="15.75" thickBot="1" x14ac:dyDescent="0.3">
      <c r="A24" s="9">
        <v>0.91</v>
      </c>
      <c r="B24" s="44">
        <v>45260</v>
      </c>
      <c r="C24" s="22">
        <v>7</v>
      </c>
      <c r="D24">
        <f t="shared" si="0"/>
        <v>6.37</v>
      </c>
    </row>
    <row r="25" spans="1:4" ht="15.75" thickBot="1" x14ac:dyDescent="0.3">
      <c r="A25" s="9">
        <v>0.9</v>
      </c>
      <c r="B25" s="44">
        <v>45230</v>
      </c>
      <c r="C25" s="22">
        <v>7</v>
      </c>
      <c r="D25">
        <f t="shared" si="0"/>
        <v>6.3</v>
      </c>
    </row>
    <row r="26" spans="1:4" ht="15.75" thickBot="1" x14ac:dyDescent="0.3">
      <c r="A26" s="9">
        <v>0.9</v>
      </c>
      <c r="B26" s="44">
        <v>45199</v>
      </c>
      <c r="C26" s="22">
        <v>7</v>
      </c>
      <c r="D26">
        <f t="shared" si="0"/>
        <v>6.3</v>
      </c>
    </row>
    <row r="27" spans="1:4" ht="15.75" thickBot="1" x14ac:dyDescent="0.3">
      <c r="A27" s="9">
        <v>0.9</v>
      </c>
      <c r="B27" s="44">
        <v>45169</v>
      </c>
      <c r="C27" s="22">
        <v>5</v>
      </c>
      <c r="D27">
        <f t="shared" si="0"/>
        <v>4.5</v>
      </c>
    </row>
    <row r="28" spans="1:4" ht="15.75" thickBot="1" x14ac:dyDescent="0.3">
      <c r="A28" s="9">
        <v>0.9</v>
      </c>
      <c r="B28" s="44">
        <v>45138</v>
      </c>
      <c r="C28" s="22">
        <v>5</v>
      </c>
      <c r="D28">
        <f t="shared" si="0"/>
        <v>4.5</v>
      </c>
    </row>
    <row r="29" spans="1:4" ht="15.75" thickBot="1" x14ac:dyDescent="0.3">
      <c r="A29" s="9">
        <v>0.9</v>
      </c>
      <c r="B29" s="44">
        <v>45107</v>
      </c>
      <c r="C29" s="22">
        <v>3</v>
      </c>
      <c r="D29">
        <f t="shared" si="0"/>
        <v>2.7</v>
      </c>
    </row>
    <row r="30" spans="1:4" ht="15.75" thickBot="1" x14ac:dyDescent="0.3">
      <c r="A30" s="9">
        <v>0.9</v>
      </c>
      <c r="B30" s="44">
        <v>45077</v>
      </c>
      <c r="C30" s="22">
        <v>3</v>
      </c>
      <c r="D30">
        <f t="shared" si="0"/>
        <v>2.7</v>
      </c>
    </row>
    <row r="31" spans="1:4" ht="15.75" thickBot="1" x14ac:dyDescent="0.3">
      <c r="A31" s="9">
        <v>0.9</v>
      </c>
      <c r="B31" s="44">
        <v>45046</v>
      </c>
      <c r="C31" s="22">
        <v>3</v>
      </c>
      <c r="D31">
        <f t="shared" si="0"/>
        <v>2.7</v>
      </c>
    </row>
    <row r="32" spans="1:4" ht="15.75" thickBot="1" x14ac:dyDescent="0.3">
      <c r="A32" s="9">
        <v>0.9</v>
      </c>
      <c r="B32" s="44">
        <v>45016</v>
      </c>
      <c r="C32" s="22">
        <v>3</v>
      </c>
      <c r="D32">
        <f t="shared" si="0"/>
        <v>2.7</v>
      </c>
    </row>
    <row r="33" spans="1:4" ht="15.75" thickBot="1" x14ac:dyDescent="0.3">
      <c r="A33" s="9">
        <v>0.9</v>
      </c>
      <c r="B33" s="44">
        <v>44985</v>
      </c>
      <c r="C33" s="22">
        <v>2</v>
      </c>
      <c r="D33">
        <f t="shared" si="0"/>
        <v>1.8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TGAR11</vt:lpstr>
      <vt:lpstr>JPPA11</vt:lpstr>
      <vt:lpstr>BNFS11</vt:lpstr>
      <vt:lpstr>HGRU11</vt:lpstr>
      <vt:lpstr>XPML11</vt:lpstr>
      <vt:lpstr>GTWR11</vt:lpstr>
      <vt:lpstr>FAED11</vt:lpstr>
      <vt:lpstr>BTHF11</vt:lpstr>
      <vt:lpstr>RBVA11</vt:lpstr>
      <vt:lpstr>TVRI11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Jucelio Tavares Junior</dc:creator>
  <cp:lastModifiedBy>Jucelio Tavares Junior</cp:lastModifiedBy>
  <dcterms:created xsi:type="dcterms:W3CDTF">2025-09-15T08:09:29Z</dcterms:created>
  <dcterms:modified xsi:type="dcterms:W3CDTF">2025-09-18T07:26:30Z</dcterms:modified>
</cp:coreProperties>
</file>