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b40b33bde7a406e5/Documentos/GitHub/finance-manager-flask-project/app/static/datas/"/>
    </mc:Choice>
  </mc:AlternateContent>
  <xr:revisionPtr revIDLastSave="1320" documentId="11_03B990D5E0C1CEC65EDED56A9AFE00964731BD63" xr6:coauthVersionLast="47" xr6:coauthVersionMax="47" xr10:uidLastSave="{EE7F2784-87D3-4BEB-83B3-0639E0A2A524}"/>
  <bookViews>
    <workbookView xWindow="-108" yWindow="-108" windowWidth="23256" windowHeight="12456" activeTab="4" xr2:uid="{00000000-000D-0000-FFFF-FFFF00000000}"/>
  </bookViews>
  <sheets>
    <sheet name="Geral" sheetId="2" r:id="rId1"/>
    <sheet name="Euro" sheetId="3" r:id="rId2"/>
    <sheet name="Real" sheetId="4" r:id="rId3"/>
    <sheet name="Aportes" sheetId="1" r:id="rId4"/>
    <sheet name="test_db_new" sheetId="11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5" i="4" l="1"/>
  <c r="K14" i="4"/>
  <c r="K8" i="4"/>
  <c r="K3" i="3"/>
  <c r="K2" i="3"/>
  <c r="G143" i="2"/>
  <c r="G142" i="2"/>
  <c r="K3" i="4"/>
  <c r="K2" i="4"/>
  <c r="K7" i="4"/>
  <c r="G25" i="4"/>
  <c r="G33" i="4"/>
  <c r="K4" i="4" l="1"/>
  <c r="K9" i="4"/>
  <c r="K5" i="3"/>
</calcChain>
</file>

<file path=xl/sharedStrings.xml><?xml version="1.0" encoding="utf-8"?>
<sst xmlns="http://schemas.openxmlformats.org/spreadsheetml/2006/main" count="6416" uniqueCount="89">
  <si>
    <t>User</t>
  </si>
  <si>
    <t>Date</t>
  </si>
  <si>
    <t>Bank</t>
  </si>
  <si>
    <t>Description</t>
  </si>
  <si>
    <t>Category</t>
  </si>
  <si>
    <t>Type</t>
  </si>
  <si>
    <t>Amount</t>
  </si>
  <si>
    <t>Coin Type</t>
  </si>
  <si>
    <t>Wise</t>
  </si>
  <si>
    <t>Aluguel + Caução</t>
  </si>
  <si>
    <t>Without</t>
  </si>
  <si>
    <t>Expense</t>
  </si>
  <si>
    <t>Euro</t>
  </si>
  <si>
    <t>I</t>
  </si>
  <si>
    <t>Celular (1/3)</t>
  </si>
  <si>
    <t>E</t>
  </si>
  <si>
    <t>Celular (2/3)</t>
  </si>
  <si>
    <t>Celular (3/3)</t>
  </si>
  <si>
    <t>Saldo</t>
  </si>
  <si>
    <t>Revolut</t>
  </si>
  <si>
    <t>Cleaning/Hygiene Expenses</t>
  </si>
  <si>
    <t>Cleaning/Hygiene</t>
  </si>
  <si>
    <t>Clothing Expenses</t>
  </si>
  <si>
    <t>Clothing</t>
  </si>
  <si>
    <t>Fee 25S</t>
  </si>
  <si>
    <t>Fee 25W</t>
  </si>
  <si>
    <t>Food Expenses</t>
  </si>
  <si>
    <t>Food</t>
  </si>
  <si>
    <t>Housing Expenses</t>
  </si>
  <si>
    <t>Housing</t>
  </si>
  <si>
    <t>Mensa Expenses</t>
  </si>
  <si>
    <t>Mensa</t>
  </si>
  <si>
    <t>Money Exchange 2024</t>
  </si>
  <si>
    <t>Income</t>
  </si>
  <si>
    <t>Money Exchange 2025</t>
  </si>
  <si>
    <t>Monthly Bills Expenses</t>
  </si>
  <si>
    <t>Monthly Bills</t>
  </si>
  <si>
    <t>MTI Payment</t>
  </si>
  <si>
    <t>Salary</t>
  </si>
  <si>
    <t>Others Expenses</t>
  </si>
  <si>
    <t>Others</t>
  </si>
  <si>
    <t>Restaurant Expenses</t>
  </si>
  <si>
    <t>Restaurant</t>
  </si>
  <si>
    <t>Semester Fee</t>
  </si>
  <si>
    <t>Takeout Expenses</t>
  </si>
  <si>
    <t>Takeout</t>
  </si>
  <si>
    <t>Ticket Trem</t>
  </si>
  <si>
    <t>Travel Expenses</t>
  </si>
  <si>
    <t>Travel</t>
  </si>
  <si>
    <t>Visa</t>
  </si>
  <si>
    <t>NuInvest</t>
  </si>
  <si>
    <t>NuInvest Bolsa</t>
  </si>
  <si>
    <t>Investments</t>
  </si>
  <si>
    <t>Real</t>
  </si>
  <si>
    <t>NuInvest Cripto</t>
  </si>
  <si>
    <t>NuInvest Reserva</t>
  </si>
  <si>
    <t>XP</t>
  </si>
  <si>
    <t>Nomad</t>
  </si>
  <si>
    <t>Uni</t>
  </si>
  <si>
    <t>Month Savings</t>
  </si>
  <si>
    <t xml:space="preserve">Rendimentos </t>
  </si>
  <si>
    <t>Gift</t>
  </si>
  <si>
    <t>Purchase</t>
  </si>
  <si>
    <t>LVA</t>
  </si>
  <si>
    <t xml:space="preserve">
Christmas Gift</t>
  </si>
  <si>
    <t>NuInvest Retirada</t>
  </si>
  <si>
    <t>Trip Chile</t>
  </si>
  <si>
    <t>Intership</t>
  </si>
  <si>
    <t>Conversão Euro</t>
  </si>
  <si>
    <t>Entrada Invest</t>
  </si>
  <si>
    <t>Saida Invest</t>
  </si>
  <si>
    <t>Aportes</t>
  </si>
  <si>
    <t>entrada</t>
  </si>
  <si>
    <t>saida</t>
  </si>
  <si>
    <t>saldo</t>
  </si>
  <si>
    <t>Christmas Gift</t>
  </si>
  <si>
    <t>Rendimentos</t>
  </si>
  <si>
    <t>Cleaning and hygiene products</t>
  </si>
  <si>
    <t>Clothing and accessories</t>
  </si>
  <si>
    <t>Groceries / food supplies</t>
  </si>
  <si>
    <t>Rent / household expenses</t>
  </si>
  <si>
    <t>Cafeteria / canteen meals</t>
  </si>
  <si>
    <t>Fixed monthly bills</t>
  </si>
  <si>
    <t>Miscellaneous expenses</t>
  </si>
  <si>
    <t>Restaurants / cafés</t>
  </si>
  <si>
    <t>Salary / income</t>
  </si>
  <si>
    <t>Delivery / takeout food</t>
  </si>
  <si>
    <t>Travel / transportation</t>
  </si>
  <si>
    <t>Nubank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</si>
</sst>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_-[$€-2]\ * #,##0.00_-;\-[$€-2]\ * #,##0.00_-;_-[$€-2]\ * &quot;-&quot;??_-;_-@_-"/>
    <numFmt numFmtId="165" formatCode="[$€-2]\ #,##0.00;[Red]\-[$€-2]\ #,##0.00"/>
  </numFmts>
  <fonts count="10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11"/>
      <color rgb="FF000000"/>
      <name val="Aptos Narrow"/>
      <family val="2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theme="1"/>
      </bottom>
      <diagonal/>
    </border>
  </borders>
  <cellStyleXfs count="2">
    <xf numFmtId="0" fontId="0" fillId="0" borderId="0"/>
    <xf numFmtId="44" fontId="7" fillId="0" borderId="0" applyFont="0" applyFill="0" applyBorder="0" applyAlignment="0" applyProtection="0"/>
  </cellStyleXfs>
  <cellXfs count="88">
    <xf numFmtId="0" fontId="0" fillId="0" borderId="0" xfId="0"/>
    <xf numFmtId="3" fontId="1" fillId="0" borderId="1" xfId="0" applyNumberFormat="1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7" fontId="0" fillId="0" borderId="0" xfId="0" applyNumberFormat="1"/>
    <xf numFmtId="3" fontId="2" fillId="0" borderId="2" xfId="0" applyNumberFormat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7" fontId="2" fillId="0" borderId="2" xfId="0" applyNumberFormat="1" applyFont="1" applyBorder="1" applyAlignment="1">
      <alignment horizontal="right"/>
    </xf>
    <xf numFmtId="17" fontId="2" fillId="0" borderId="2" xfId="0" applyNumberFormat="1" applyFont="1" applyBorder="1" applyAlignment="1">
      <alignment horizontal="left"/>
    </xf>
    <xf numFmtId="7" fontId="3" fillId="0" borderId="2" xfId="0" applyNumberFormat="1" applyFont="1" applyBorder="1" applyAlignment="1">
      <alignment horizontal="center"/>
    </xf>
    <xf numFmtId="3" fontId="3" fillId="0" borderId="2" xfId="0" applyNumberFormat="1" applyFont="1" applyBorder="1" applyAlignment="1">
      <alignment horizontal="center"/>
    </xf>
    <xf numFmtId="3" fontId="5" fillId="0" borderId="2" xfId="0" applyNumberFormat="1" applyFont="1" applyBorder="1" applyAlignment="1">
      <alignment horizontal="center"/>
    </xf>
    <xf numFmtId="14" fontId="5" fillId="0" borderId="2" xfId="0" applyNumberFormat="1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7" fontId="5" fillId="0" borderId="2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7" fontId="0" fillId="0" borderId="0" xfId="0" applyNumberFormat="1" applyAlignment="1">
      <alignment horizontal="center"/>
    </xf>
    <xf numFmtId="14" fontId="3" fillId="0" borderId="2" xfId="0" applyNumberFormat="1" applyFont="1" applyBorder="1" applyAlignment="1">
      <alignment horizontal="center"/>
    </xf>
    <xf numFmtId="7" fontId="6" fillId="0" borderId="2" xfId="0" applyNumberFormat="1" applyFont="1" applyBorder="1" applyAlignment="1">
      <alignment horizontal="center"/>
    </xf>
    <xf numFmtId="7" fontId="3" fillId="0" borderId="2" xfId="0" applyNumberFormat="1" applyFont="1" applyBorder="1" applyAlignment="1">
      <alignment horizontal="right"/>
    </xf>
    <xf numFmtId="164" fontId="1" fillId="0" borderId="1" xfId="1" applyNumberFormat="1" applyFont="1" applyBorder="1" applyAlignment="1">
      <alignment horizontal="center"/>
    </xf>
    <xf numFmtId="164" fontId="2" fillId="0" borderId="2" xfId="1" applyNumberFormat="1" applyFont="1" applyBorder="1" applyAlignment="1">
      <alignment horizontal="center"/>
    </xf>
    <xf numFmtId="164" fontId="3" fillId="0" borderId="2" xfId="1" applyNumberFormat="1" applyFont="1" applyBorder="1" applyAlignment="1">
      <alignment horizontal="center"/>
    </xf>
    <xf numFmtId="164" fontId="4" fillId="0" borderId="2" xfId="1" applyNumberFormat="1" applyFont="1" applyBorder="1" applyAlignment="1">
      <alignment horizontal="center"/>
    </xf>
    <xf numFmtId="164" fontId="5" fillId="0" borderId="2" xfId="1" applyNumberFormat="1" applyFont="1" applyBorder="1" applyAlignment="1">
      <alignment horizontal="center"/>
    </xf>
    <xf numFmtId="164" fontId="0" fillId="0" borderId="0" xfId="1" applyNumberFormat="1" applyFont="1" applyAlignment="1">
      <alignment horizontal="center"/>
    </xf>
    <xf numFmtId="44" fontId="3" fillId="0" borderId="2" xfId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3" fontId="3" fillId="0" borderId="2" xfId="0" applyNumberFormat="1" applyFont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3" fontId="5" fillId="0" borderId="2" xfId="0" applyNumberFormat="1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44" fontId="5" fillId="0" borderId="2" xfId="1" applyFont="1" applyFill="1" applyBorder="1" applyAlignment="1">
      <alignment horizontal="center" vertical="center"/>
    </xf>
    <xf numFmtId="44" fontId="6" fillId="0" borderId="2" xfId="1" applyFont="1" applyFill="1" applyBorder="1" applyAlignment="1">
      <alignment horizontal="center" vertical="center"/>
    </xf>
    <xf numFmtId="7" fontId="6" fillId="0" borderId="2" xfId="0" applyNumberFormat="1" applyFont="1" applyBorder="1" applyAlignment="1">
      <alignment horizontal="center" vertical="center"/>
    </xf>
    <xf numFmtId="7" fontId="3" fillId="0" borderId="2" xfId="0" applyNumberFormat="1" applyFont="1" applyBorder="1" applyAlignment="1">
      <alignment horizontal="center" vertical="center"/>
    </xf>
    <xf numFmtId="3" fontId="1" fillId="0" borderId="2" xfId="0" applyNumberFormat="1" applyFont="1" applyBorder="1" applyAlignment="1">
      <alignment horizontal="center" vertical="center"/>
    </xf>
    <xf numFmtId="14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44" fontId="1" fillId="0" borderId="2" xfId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7" fontId="0" fillId="0" borderId="2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44" fontId="0" fillId="0" borderId="2" xfId="0" applyNumberFormat="1" applyBorder="1" applyAlignment="1">
      <alignment horizontal="center" vertical="center"/>
    </xf>
    <xf numFmtId="44" fontId="0" fillId="0" borderId="2" xfId="1" applyFont="1" applyFill="1" applyBorder="1" applyAlignment="1">
      <alignment horizontal="center" vertical="center"/>
    </xf>
    <xf numFmtId="7" fontId="2" fillId="0" borderId="2" xfId="0" applyNumberFormat="1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0" fillId="0" borderId="2" xfId="0" applyBorder="1"/>
    <xf numFmtId="3" fontId="0" fillId="0" borderId="2" xfId="0" applyNumberForma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7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right"/>
    </xf>
    <xf numFmtId="164" fontId="2" fillId="0" borderId="2" xfId="0" applyNumberFormat="1" applyFont="1" applyBorder="1" applyAlignment="1">
      <alignment horizontal="left"/>
    </xf>
    <xf numFmtId="44" fontId="2" fillId="0" borderId="2" xfId="1" applyFont="1" applyBorder="1" applyAlignment="1">
      <alignment horizontal="center"/>
    </xf>
    <xf numFmtId="44" fontId="3" fillId="0" borderId="2" xfId="1" applyFont="1" applyBorder="1" applyAlignment="1">
      <alignment horizontal="center"/>
    </xf>
    <xf numFmtId="44" fontId="4" fillId="0" borderId="2" xfId="1" applyFont="1" applyBorder="1" applyAlignment="1">
      <alignment horizontal="center"/>
    </xf>
    <xf numFmtId="44" fontId="5" fillId="0" borderId="2" xfId="1" applyFont="1" applyBorder="1" applyAlignment="1">
      <alignment horizontal="center"/>
    </xf>
    <xf numFmtId="3" fontId="2" fillId="0" borderId="2" xfId="0" applyNumberFormat="1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164" fontId="2" fillId="0" borderId="2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8" fontId="0" fillId="0" borderId="0" xfId="0" applyNumberFormat="1" applyAlignment="1">
      <alignment horizontal="center" vertical="center"/>
    </xf>
    <xf numFmtId="14" fontId="0" fillId="0" borderId="0" xfId="0" applyNumberFormat="1"/>
    <xf numFmtId="8" fontId="0" fillId="0" borderId="0" xfId="0" applyNumberFormat="1"/>
    <xf numFmtId="165" fontId="0" fillId="0" borderId="0" xfId="0" applyNumberFormat="1"/>
    <xf numFmtId="3" fontId="1" fillId="0" borderId="3" xfId="0" applyNumberFormat="1" applyFont="1" applyBorder="1" applyAlignment="1">
      <alignment horizontal="center" vertical="center"/>
    </xf>
    <xf numFmtId="14" fontId="1" fillId="0" borderId="3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7" fontId="1" fillId="0" borderId="3" xfId="0" applyNumberFormat="1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3" fontId="2" fillId="0" borderId="0" xfId="0" applyNumberFormat="1" applyFont="1" applyBorder="1" applyAlignment="1">
      <alignment horizontal="center" vertical="center"/>
    </xf>
    <xf numFmtId="14" fontId="2" fillId="0" borderId="0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164" fontId="2" fillId="0" borderId="0" xfId="1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2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numFmt numFmtId="165" formatCode="[$€-2]\ #,##0.00;[Red]\-[$€-2]\ #,##0.00"/>
    </dxf>
    <dxf>
      <numFmt numFmtId="19" formatCode="dd/mm/yyyy"/>
    </dxf>
    <dxf>
      <border outline="0">
        <bottom style="thin">
          <color theme="1"/>
        </bottom>
      </border>
    </dxf>
    <dxf>
      <border outline="0">
        <top style="thin">
          <color theme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164" formatCode="_-[$€-2]\ * #,##0.00_-;\-[$€-2]\ * #,##0.00_-;_-[$€-2]\ * &quot;-&quot;??_-;_-@_-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ela13" displayName="Tabela13" ref="A1:H351" totalsRowShown="0" headerRowDxfId="25" dataDxfId="24">
  <autoFilter ref="A1:H351" xr:uid="{00000000-0009-0000-0100-000002000000}">
    <filterColumn colId="7">
      <filters>
        <filter val="Real"/>
      </filters>
    </filterColumn>
  </autoFilter>
  <sortState xmlns:xlrd2="http://schemas.microsoft.com/office/spreadsheetml/2017/richdata2" ref="A2:H178">
    <sortCondition ref="E1:E351"/>
  </sortState>
  <tableColumns count="8">
    <tableColumn id="1" xr3:uid="{00000000-0010-0000-0100-000001000000}" name="User" dataDxfId="23"/>
    <tableColumn id="2" xr3:uid="{00000000-0010-0000-0100-000002000000}" name="Date" dataDxfId="22"/>
    <tableColumn id="3" xr3:uid="{00000000-0010-0000-0100-000003000000}" name="Bank" dataDxfId="21"/>
    <tableColumn id="4" xr3:uid="{00000000-0010-0000-0100-000004000000}" name="Description" dataDxfId="20"/>
    <tableColumn id="5" xr3:uid="{00000000-0010-0000-0100-000005000000}" name="Category" dataDxfId="19"/>
    <tableColumn id="6" xr3:uid="{00000000-0010-0000-0100-000006000000}" name="Type" dataDxfId="18"/>
    <tableColumn id="7" xr3:uid="{00000000-0010-0000-0100-000007000000}" name="Amount" dataDxfId="17"/>
    <tableColumn id="8" xr3:uid="{00000000-0010-0000-0100-000008000000}" name="Coin Type" dataDxfId="16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Tabela3" displayName="Tabela3" ref="A1:H183" totalsRowShown="0">
  <autoFilter ref="A1:H183" xr:uid="{00000000-0009-0000-0100-000001000000}"/>
  <sortState xmlns:xlrd2="http://schemas.microsoft.com/office/spreadsheetml/2017/richdata2" ref="A2:H183">
    <sortCondition ref="B1:B183"/>
  </sortState>
  <tableColumns count="8">
    <tableColumn id="1" xr3:uid="{00000000-0010-0000-0200-000001000000}" name="User"/>
    <tableColumn id="2" xr3:uid="{00000000-0010-0000-0200-000002000000}" name="Date"/>
    <tableColumn id="3" xr3:uid="{00000000-0010-0000-0200-000003000000}" name="Bank"/>
    <tableColumn id="4" xr3:uid="{00000000-0010-0000-0200-000004000000}" name="Description"/>
    <tableColumn id="5" xr3:uid="{00000000-0010-0000-0200-000005000000}" name="Category"/>
    <tableColumn id="6" xr3:uid="{00000000-0010-0000-0200-000006000000}" name="Type"/>
    <tableColumn id="7" xr3:uid="{00000000-0010-0000-0200-000007000000}" name="Amount" dataDxfId="15"/>
    <tableColumn id="8" xr3:uid="{00000000-0010-0000-0200-000008000000}" name="Coin Type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C7F66D9-4377-4BEC-B2F6-491A82A51FDA}" name="Tabela4" displayName="Tabela4" ref="A1:H178" totalsRowShown="0" headerRowDxfId="14" dataDxfId="13">
  <autoFilter ref="A1:H178" xr:uid="{BC7F66D9-4377-4BEC-B2F6-491A82A51FDA}"/>
  <sortState xmlns:xlrd2="http://schemas.microsoft.com/office/spreadsheetml/2017/richdata2" ref="A2:H178">
    <sortCondition descending="1" ref="B1:B178"/>
  </sortState>
  <tableColumns count="8">
    <tableColumn id="1" xr3:uid="{B495EDC8-0B71-4B48-A3A7-EC3A2F19A4FE}" name="User" dataDxfId="12"/>
    <tableColumn id="2" xr3:uid="{A7CB4F48-AEDA-4F1F-8E60-0E838419A29C}" name="Date" dataDxfId="11"/>
    <tableColumn id="3" xr3:uid="{0891B47F-847F-43AB-90D3-539DE5616D76}" name="Bank" dataDxfId="10"/>
    <tableColumn id="4" xr3:uid="{2D5E0A88-AFE5-49F1-B8D7-371D69F3CFD9}" name="Description" dataDxfId="9"/>
    <tableColumn id="5" xr3:uid="{A3C63E27-3B01-4C24-B8AD-CA385798B5C6}" name="Category" dataDxfId="8"/>
    <tableColumn id="6" xr3:uid="{EBFE3EB3-157B-4904-A8FD-7623EE99CB8E}" name="Type" dataDxfId="7"/>
    <tableColumn id="7" xr3:uid="{BB2870C2-27FE-42B6-817C-05140CAE87C5}" name="Amount" dataDxfId="6"/>
    <tableColumn id="8" xr3:uid="{AEA9FACB-8271-47EC-86DE-539DF6B24316}" name="Coin Type" dataDxfId="5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ela1" displayName="Tabela1" ref="A1:G78" totalsRowShown="0">
  <autoFilter ref="A1:G78" xr:uid="{00000000-0009-0000-0100-000003000000}"/>
  <sortState xmlns:xlrd2="http://schemas.microsoft.com/office/spreadsheetml/2017/richdata2" ref="A2:G78">
    <sortCondition ref="B1:B78"/>
  </sortState>
  <tableColumns count="7">
    <tableColumn id="1" xr3:uid="{00000000-0010-0000-0000-000001000000}" name="User"/>
    <tableColumn id="2" xr3:uid="{00000000-0010-0000-0000-000002000000}" name="Date"/>
    <tableColumn id="3" xr3:uid="{00000000-0010-0000-0000-000003000000}" name="Bank"/>
    <tableColumn id="4" xr3:uid="{00000000-0010-0000-0000-000004000000}" name="Description"/>
    <tableColumn id="5" xr3:uid="{00000000-0010-0000-0000-000005000000}" name="Category"/>
    <tableColumn id="6" xr3:uid="{00000000-0010-0000-0000-000006000000}" name="Type"/>
    <tableColumn id="7" xr3:uid="{00000000-0010-0000-0000-000007000000}" name="Amount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EE58749-FB12-4C07-A4C5-8C2C98B7B997}" name="Tabela5" displayName="Tabela5" ref="A1:H505" totalsRowShown="0" headerRowDxfId="0" headerRowBorderDxfId="3" tableBorderDxfId="4">
  <autoFilter ref="A1:H505" xr:uid="{AEE58749-FB12-4C07-A4C5-8C2C98B7B997}"/>
  <sortState xmlns:xlrd2="http://schemas.microsoft.com/office/spreadsheetml/2017/richdata2" ref="A2:H505">
    <sortCondition ref="F1:F505"/>
  </sortState>
  <tableColumns count="8">
    <tableColumn id="1" xr3:uid="{B651935A-E1F9-41BE-AF67-CE6B29517707}" name="User"/>
    <tableColumn id="2" xr3:uid="{4284F136-9B7E-4A1D-A4B3-BFF55C7EB1D1}" name="Date" dataDxfId="2"/>
    <tableColumn id="3" xr3:uid="{4931427A-5B97-47C7-9296-1232443536E4}" name="Bank"/>
    <tableColumn id="4" xr3:uid="{55EB2652-E647-4EE3-A057-1AC047D55FE7}" name="Description"/>
    <tableColumn id="5" xr3:uid="{6B7620F9-8D2C-4896-90F8-1F7E44A0B733}" name="Category"/>
    <tableColumn id="6" xr3:uid="{A64B35D8-6963-459D-828A-1AED2EED0C6F}" name="Type"/>
    <tableColumn id="7" xr3:uid="{36E930DD-A795-4E81-9AFD-DEF3264BE388}" name="Amount" dataDxfId="1"/>
    <tableColumn id="8" xr3:uid="{EF428DD6-24DF-4731-A8B7-B943A4CF2DC3}" name="Coin Typ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L361"/>
  <sheetViews>
    <sheetView topLeftCell="A174" workbookViewId="0">
      <selection activeCell="C12" sqref="C12"/>
    </sheetView>
  </sheetViews>
  <sheetFormatPr defaultColWidth="8.88671875" defaultRowHeight="14.4" x14ac:dyDescent="0.3"/>
  <cols>
    <col min="1" max="1" width="18.33203125" style="56" customWidth="1"/>
    <col min="2" max="2" width="18.33203125" style="57" customWidth="1"/>
    <col min="3" max="6" width="18.33203125" style="58" customWidth="1"/>
    <col min="7" max="7" width="18.33203125" style="59" customWidth="1"/>
    <col min="8" max="8" width="18.33203125" style="58" customWidth="1"/>
    <col min="9" max="9" width="10.6640625" style="55" bestFit="1" customWidth="1"/>
    <col min="10" max="10" width="11" style="55" bestFit="1" customWidth="1"/>
    <col min="11" max="12" width="11.6640625" style="55" bestFit="1" customWidth="1"/>
    <col min="13" max="16384" width="8.88671875" style="55"/>
  </cols>
  <sheetData>
    <row r="1" spans="1:8" ht="17.399999999999999" customHeight="1" x14ac:dyDescent="0.3">
      <c r="A1" s="12" t="s">
        <v>0</v>
      </c>
      <c r="B1" s="21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11" t="s">
        <v>6</v>
      </c>
      <c r="H1" s="8" t="s">
        <v>7</v>
      </c>
    </row>
    <row r="2" spans="1:8" ht="17.399999999999999" customHeight="1" x14ac:dyDescent="0.3">
      <c r="A2" s="5">
        <v>2</v>
      </c>
      <c r="B2" s="35">
        <v>43997</v>
      </c>
      <c r="C2" s="31" t="s">
        <v>50</v>
      </c>
      <c r="D2" s="31" t="s">
        <v>51</v>
      </c>
      <c r="E2" s="31" t="s">
        <v>52</v>
      </c>
      <c r="F2" s="31" t="s">
        <v>11</v>
      </c>
      <c r="G2" s="30">
        <v>200</v>
      </c>
      <c r="H2" s="32" t="s">
        <v>53</v>
      </c>
    </row>
    <row r="3" spans="1:8" ht="17.399999999999999" customHeight="1" x14ac:dyDescent="0.3">
      <c r="A3" s="5">
        <v>2</v>
      </c>
      <c r="B3" s="35">
        <v>44047</v>
      </c>
      <c r="C3" s="31" t="s">
        <v>50</v>
      </c>
      <c r="D3" s="31" t="s">
        <v>51</v>
      </c>
      <c r="E3" s="31" t="s">
        <v>52</v>
      </c>
      <c r="F3" s="31" t="s">
        <v>11</v>
      </c>
      <c r="G3" s="30">
        <v>200</v>
      </c>
      <c r="H3" s="32" t="s">
        <v>53</v>
      </c>
    </row>
    <row r="4" spans="1:8" ht="17.399999999999999" customHeight="1" x14ac:dyDescent="0.3">
      <c r="A4" s="5">
        <v>2</v>
      </c>
      <c r="B4" s="35">
        <v>44074</v>
      </c>
      <c r="C4" s="31" t="s">
        <v>50</v>
      </c>
      <c r="D4" s="31" t="s">
        <v>51</v>
      </c>
      <c r="E4" s="31" t="s">
        <v>52</v>
      </c>
      <c r="F4" s="31" t="s">
        <v>11</v>
      </c>
      <c r="G4" s="30">
        <v>100</v>
      </c>
      <c r="H4" s="32" t="s">
        <v>53</v>
      </c>
    </row>
    <row r="5" spans="1:8" ht="17.399999999999999" customHeight="1" x14ac:dyDescent="0.3">
      <c r="A5" s="5">
        <v>2</v>
      </c>
      <c r="B5" s="35">
        <v>44105</v>
      </c>
      <c r="C5" s="31" t="s">
        <v>50</v>
      </c>
      <c r="D5" s="31" t="s">
        <v>51</v>
      </c>
      <c r="E5" s="31" t="s">
        <v>52</v>
      </c>
      <c r="F5" s="31" t="s">
        <v>11</v>
      </c>
      <c r="G5" s="30">
        <v>200</v>
      </c>
      <c r="H5" s="32" t="s">
        <v>53</v>
      </c>
    </row>
    <row r="6" spans="1:8" ht="17.399999999999999" customHeight="1" x14ac:dyDescent="0.3">
      <c r="A6" s="5">
        <v>2</v>
      </c>
      <c r="B6" s="35">
        <v>44144</v>
      </c>
      <c r="C6" s="31" t="s">
        <v>50</v>
      </c>
      <c r="D6" s="31" t="s">
        <v>51</v>
      </c>
      <c r="E6" s="31" t="s">
        <v>52</v>
      </c>
      <c r="F6" s="31" t="s">
        <v>11</v>
      </c>
      <c r="G6" s="30">
        <v>100</v>
      </c>
      <c r="H6" s="32" t="s">
        <v>53</v>
      </c>
    </row>
    <row r="7" spans="1:8" ht="17.399999999999999" customHeight="1" x14ac:dyDescent="0.3">
      <c r="A7" s="5">
        <v>2</v>
      </c>
      <c r="B7" s="35">
        <v>44159</v>
      </c>
      <c r="C7" s="31" t="s">
        <v>50</v>
      </c>
      <c r="D7" s="31" t="s">
        <v>51</v>
      </c>
      <c r="E7" s="31" t="s">
        <v>52</v>
      </c>
      <c r="F7" s="31" t="s">
        <v>11</v>
      </c>
      <c r="G7" s="30">
        <v>100</v>
      </c>
      <c r="H7" s="32" t="s">
        <v>53</v>
      </c>
    </row>
    <row r="8" spans="1:8" ht="17.399999999999999" customHeight="1" x14ac:dyDescent="0.3">
      <c r="A8" s="5">
        <v>2</v>
      </c>
      <c r="B8" s="35">
        <v>44207</v>
      </c>
      <c r="C8" s="31" t="s">
        <v>50</v>
      </c>
      <c r="D8" s="31" t="s">
        <v>51</v>
      </c>
      <c r="E8" s="31" t="s">
        <v>52</v>
      </c>
      <c r="F8" s="31" t="s">
        <v>11</v>
      </c>
      <c r="G8" s="30">
        <v>100</v>
      </c>
      <c r="H8" s="32" t="s">
        <v>53</v>
      </c>
    </row>
    <row r="9" spans="1:8" ht="17.399999999999999" customHeight="1" x14ac:dyDescent="0.3">
      <c r="A9" s="5">
        <v>2</v>
      </c>
      <c r="B9" s="35">
        <v>44305</v>
      </c>
      <c r="C9" s="31" t="s">
        <v>50</v>
      </c>
      <c r="D9" s="31" t="s">
        <v>51</v>
      </c>
      <c r="E9" s="31" t="s">
        <v>52</v>
      </c>
      <c r="F9" s="31" t="s">
        <v>11</v>
      </c>
      <c r="G9" s="30">
        <v>400</v>
      </c>
      <c r="H9" s="32" t="s">
        <v>53</v>
      </c>
    </row>
    <row r="10" spans="1:8" ht="17.399999999999999" customHeight="1" x14ac:dyDescent="0.3">
      <c r="A10" s="5">
        <v>2</v>
      </c>
      <c r="B10" s="35">
        <v>44347</v>
      </c>
      <c r="C10" s="31" t="s">
        <v>50</v>
      </c>
      <c r="D10" s="31" t="s">
        <v>51</v>
      </c>
      <c r="E10" s="31" t="s">
        <v>52</v>
      </c>
      <c r="F10" s="31" t="s">
        <v>11</v>
      </c>
      <c r="G10" s="30">
        <v>600</v>
      </c>
      <c r="H10" s="32" t="s">
        <v>53</v>
      </c>
    </row>
    <row r="11" spans="1:8" ht="17.399999999999999" customHeight="1" x14ac:dyDescent="0.3">
      <c r="A11" s="5">
        <v>2</v>
      </c>
      <c r="B11" s="35">
        <v>44396</v>
      </c>
      <c r="C11" s="31" t="s">
        <v>50</v>
      </c>
      <c r="D11" s="31" t="s">
        <v>51</v>
      </c>
      <c r="E11" s="31" t="s">
        <v>52</v>
      </c>
      <c r="F11" s="31" t="s">
        <v>11</v>
      </c>
      <c r="G11" s="30">
        <v>1000</v>
      </c>
      <c r="H11" s="32" t="s">
        <v>53</v>
      </c>
    </row>
    <row r="12" spans="1:8" ht="17.399999999999999" customHeight="1" x14ac:dyDescent="0.3">
      <c r="A12" s="5">
        <v>2</v>
      </c>
      <c r="B12" s="35">
        <v>44501</v>
      </c>
      <c r="C12" s="31" t="s">
        <v>50</v>
      </c>
      <c r="D12" s="32" t="s">
        <v>60</v>
      </c>
      <c r="E12" s="31" t="s">
        <v>52</v>
      </c>
      <c r="F12" s="31" t="s">
        <v>33</v>
      </c>
      <c r="G12" s="30">
        <v>42.22</v>
      </c>
      <c r="H12" s="32" t="s">
        <v>53</v>
      </c>
    </row>
    <row r="13" spans="1:8" ht="17.399999999999999" customHeight="1" x14ac:dyDescent="0.3">
      <c r="A13" s="5">
        <v>2</v>
      </c>
      <c r="B13" s="35">
        <v>44531</v>
      </c>
      <c r="C13" s="31" t="s">
        <v>50</v>
      </c>
      <c r="D13" s="32" t="s">
        <v>60</v>
      </c>
      <c r="E13" s="31" t="s">
        <v>52</v>
      </c>
      <c r="F13" s="31" t="s">
        <v>33</v>
      </c>
      <c r="G13" s="30">
        <v>32.99</v>
      </c>
      <c r="H13" s="32" t="s">
        <v>53</v>
      </c>
    </row>
    <row r="14" spans="1:8" ht="17.399999999999999" customHeight="1" x14ac:dyDescent="0.3">
      <c r="A14" s="5">
        <v>2</v>
      </c>
      <c r="B14" s="35">
        <v>44592</v>
      </c>
      <c r="C14" s="31" t="s">
        <v>50</v>
      </c>
      <c r="D14" s="32" t="s">
        <v>60</v>
      </c>
      <c r="E14" s="31" t="s">
        <v>52</v>
      </c>
      <c r="F14" s="31" t="s">
        <v>33</v>
      </c>
      <c r="G14" s="30">
        <v>4.12</v>
      </c>
      <c r="H14" s="32" t="s">
        <v>53</v>
      </c>
    </row>
    <row r="15" spans="1:8" ht="17.399999999999999" customHeight="1" x14ac:dyDescent="0.3">
      <c r="A15" s="5">
        <v>2</v>
      </c>
      <c r="B15" s="35">
        <v>44620</v>
      </c>
      <c r="C15" s="31" t="s">
        <v>50</v>
      </c>
      <c r="D15" s="32" t="s">
        <v>60</v>
      </c>
      <c r="E15" s="31" t="s">
        <v>52</v>
      </c>
      <c r="F15" s="31" t="s">
        <v>33</v>
      </c>
      <c r="G15" s="30">
        <v>59.75</v>
      </c>
      <c r="H15" s="32" t="s">
        <v>53</v>
      </c>
    </row>
    <row r="16" spans="1:8" ht="17.399999999999999" customHeight="1" x14ac:dyDescent="0.3">
      <c r="A16" s="5">
        <v>2</v>
      </c>
      <c r="B16" s="35">
        <v>44651</v>
      </c>
      <c r="C16" s="31" t="s">
        <v>50</v>
      </c>
      <c r="D16" s="32" t="s">
        <v>60</v>
      </c>
      <c r="E16" s="31" t="s">
        <v>52</v>
      </c>
      <c r="F16" s="31" t="s">
        <v>33</v>
      </c>
      <c r="G16" s="30">
        <v>23.94</v>
      </c>
      <c r="H16" s="32" t="s">
        <v>53</v>
      </c>
    </row>
    <row r="17" spans="1:8" ht="17.399999999999999" customHeight="1" x14ac:dyDescent="0.3">
      <c r="A17" s="5">
        <v>2</v>
      </c>
      <c r="B17" s="35">
        <v>44712</v>
      </c>
      <c r="C17" s="31" t="s">
        <v>50</v>
      </c>
      <c r="D17" s="32" t="s">
        <v>60</v>
      </c>
      <c r="E17" s="31" t="s">
        <v>52</v>
      </c>
      <c r="F17" s="31" t="s">
        <v>33</v>
      </c>
      <c r="G17" s="30">
        <v>25.82</v>
      </c>
      <c r="H17" s="32" t="s">
        <v>53</v>
      </c>
    </row>
    <row r="18" spans="1:8" ht="17.399999999999999" customHeight="1" x14ac:dyDescent="0.3">
      <c r="A18" s="5">
        <v>2</v>
      </c>
      <c r="B18" s="35">
        <v>44742</v>
      </c>
      <c r="C18" s="31" t="s">
        <v>50</v>
      </c>
      <c r="D18" s="32" t="s">
        <v>60</v>
      </c>
      <c r="E18" s="31" t="s">
        <v>52</v>
      </c>
      <c r="F18" s="31" t="s">
        <v>33</v>
      </c>
      <c r="G18" s="30">
        <v>26.65</v>
      </c>
      <c r="H18" s="32" t="s">
        <v>53</v>
      </c>
    </row>
    <row r="19" spans="1:8" ht="17.399999999999999" customHeight="1" x14ac:dyDescent="0.3">
      <c r="A19" s="5">
        <v>2</v>
      </c>
      <c r="B19" s="38">
        <v>44770</v>
      </c>
      <c r="C19" s="39" t="s">
        <v>50</v>
      </c>
      <c r="D19" s="39" t="s">
        <v>65</v>
      </c>
      <c r="E19" s="39" t="s">
        <v>52</v>
      </c>
      <c r="F19" s="39" t="s">
        <v>33</v>
      </c>
      <c r="G19" s="40">
        <v>665.12</v>
      </c>
      <c r="H19" s="39" t="s">
        <v>53</v>
      </c>
    </row>
    <row r="20" spans="1:8" ht="17.399999999999999" customHeight="1" x14ac:dyDescent="0.3">
      <c r="A20" s="5">
        <v>2</v>
      </c>
      <c r="B20" s="38">
        <v>44796</v>
      </c>
      <c r="C20" s="39" t="s">
        <v>50</v>
      </c>
      <c r="D20" s="39" t="s">
        <v>51</v>
      </c>
      <c r="E20" s="39" t="s">
        <v>52</v>
      </c>
      <c r="F20" s="39" t="s">
        <v>11</v>
      </c>
      <c r="G20" s="40">
        <v>342.92</v>
      </c>
      <c r="H20" s="39" t="s">
        <v>53</v>
      </c>
    </row>
    <row r="21" spans="1:8" ht="17.399999999999999" customHeight="1" x14ac:dyDescent="0.3">
      <c r="A21" s="5">
        <v>2</v>
      </c>
      <c r="B21" s="35">
        <v>44804</v>
      </c>
      <c r="C21" s="31" t="s">
        <v>50</v>
      </c>
      <c r="D21" s="32" t="s">
        <v>60</v>
      </c>
      <c r="E21" s="31" t="s">
        <v>52</v>
      </c>
      <c r="F21" s="31" t="s">
        <v>33</v>
      </c>
      <c r="G21" s="30">
        <v>295.31</v>
      </c>
      <c r="H21" s="32" t="s">
        <v>53</v>
      </c>
    </row>
    <row r="22" spans="1:8" ht="17.399999999999999" customHeight="1" x14ac:dyDescent="0.3">
      <c r="A22" s="5">
        <v>2</v>
      </c>
      <c r="B22" s="38">
        <v>44825</v>
      </c>
      <c r="C22" s="39" t="s">
        <v>50</v>
      </c>
      <c r="D22" s="39" t="s">
        <v>51</v>
      </c>
      <c r="E22" s="39" t="s">
        <v>52</v>
      </c>
      <c r="F22" s="39" t="s">
        <v>11</v>
      </c>
      <c r="G22" s="40">
        <v>103.99</v>
      </c>
      <c r="H22" s="39" t="s">
        <v>53</v>
      </c>
    </row>
    <row r="23" spans="1:8" ht="17.399999999999999" customHeight="1" x14ac:dyDescent="0.3">
      <c r="A23" s="5">
        <v>2</v>
      </c>
      <c r="B23" s="50">
        <v>44865</v>
      </c>
      <c r="C23" s="31" t="s">
        <v>50</v>
      </c>
      <c r="D23" s="32" t="s">
        <v>60</v>
      </c>
      <c r="E23" s="31" t="s">
        <v>52</v>
      </c>
      <c r="F23" s="31" t="s">
        <v>33</v>
      </c>
      <c r="G23" s="30">
        <v>77.510000000000005</v>
      </c>
      <c r="H23" s="32" t="s">
        <v>53</v>
      </c>
    </row>
    <row r="24" spans="1:8" ht="17.399999999999999" customHeight="1" x14ac:dyDescent="0.3">
      <c r="A24" s="5">
        <v>2</v>
      </c>
      <c r="B24" s="38">
        <v>44873</v>
      </c>
      <c r="C24" s="39" t="s">
        <v>50</v>
      </c>
      <c r="D24" s="39" t="s">
        <v>51</v>
      </c>
      <c r="E24" s="39" t="s">
        <v>52</v>
      </c>
      <c r="F24" s="39" t="s">
        <v>11</v>
      </c>
      <c r="G24" s="40">
        <v>1000</v>
      </c>
      <c r="H24" s="39" t="s">
        <v>53</v>
      </c>
    </row>
    <row r="25" spans="1:8" ht="17.399999999999999" customHeight="1" x14ac:dyDescent="0.3">
      <c r="A25" s="5">
        <v>2</v>
      </c>
      <c r="B25" s="50">
        <v>44926</v>
      </c>
      <c r="C25" s="31" t="s">
        <v>50</v>
      </c>
      <c r="D25" s="32" t="s">
        <v>60</v>
      </c>
      <c r="E25" s="31" t="s">
        <v>52</v>
      </c>
      <c r="F25" s="31" t="s">
        <v>33</v>
      </c>
      <c r="G25" s="30">
        <v>9.57</v>
      </c>
      <c r="H25" s="32" t="s">
        <v>53</v>
      </c>
    </row>
    <row r="26" spans="1:8" ht="17.399999999999999" customHeight="1" x14ac:dyDescent="0.3">
      <c r="A26" s="5">
        <v>2</v>
      </c>
      <c r="B26" s="35">
        <v>44951</v>
      </c>
      <c r="C26" s="31" t="s">
        <v>50</v>
      </c>
      <c r="D26" s="31" t="s">
        <v>51</v>
      </c>
      <c r="E26" s="31" t="s">
        <v>52</v>
      </c>
      <c r="F26" s="31" t="s">
        <v>11</v>
      </c>
      <c r="G26" s="30">
        <v>748.42</v>
      </c>
      <c r="H26" s="33" t="s">
        <v>53</v>
      </c>
    </row>
    <row r="27" spans="1:8" ht="17.399999999999999" customHeight="1" x14ac:dyDescent="0.3">
      <c r="A27" s="5">
        <v>2</v>
      </c>
      <c r="B27" s="35">
        <v>44984</v>
      </c>
      <c r="C27" s="31" t="s">
        <v>50</v>
      </c>
      <c r="D27" s="31" t="s">
        <v>51</v>
      </c>
      <c r="E27" s="31" t="s">
        <v>52</v>
      </c>
      <c r="F27" s="31" t="s">
        <v>11</v>
      </c>
      <c r="G27" s="30">
        <v>1789.51</v>
      </c>
      <c r="H27" s="33" t="s">
        <v>53</v>
      </c>
    </row>
    <row r="28" spans="1:8" ht="17.399999999999999" customHeight="1" x14ac:dyDescent="0.3">
      <c r="A28" s="5">
        <v>2</v>
      </c>
      <c r="B28" s="35">
        <v>45046</v>
      </c>
      <c r="C28" s="31" t="s">
        <v>50</v>
      </c>
      <c r="D28" s="31" t="s">
        <v>51</v>
      </c>
      <c r="E28" s="31" t="s">
        <v>52</v>
      </c>
      <c r="F28" s="31" t="s">
        <v>11</v>
      </c>
      <c r="G28" s="30">
        <v>500</v>
      </c>
      <c r="H28" s="33" t="s">
        <v>53</v>
      </c>
    </row>
    <row r="29" spans="1:8" ht="17.399999999999999" customHeight="1" x14ac:dyDescent="0.3">
      <c r="A29" s="5">
        <v>2</v>
      </c>
      <c r="B29" s="35">
        <v>45068</v>
      </c>
      <c r="C29" s="31" t="s">
        <v>50</v>
      </c>
      <c r="D29" s="31" t="s">
        <v>51</v>
      </c>
      <c r="E29" s="31" t="s">
        <v>52</v>
      </c>
      <c r="F29" s="31" t="s">
        <v>11</v>
      </c>
      <c r="G29" s="30">
        <v>380.28</v>
      </c>
      <c r="H29" s="33" t="s">
        <v>53</v>
      </c>
    </row>
    <row r="30" spans="1:8" ht="17.399999999999999" customHeight="1" x14ac:dyDescent="0.3">
      <c r="A30" s="5">
        <v>2</v>
      </c>
      <c r="B30" s="35">
        <v>45090</v>
      </c>
      <c r="C30" s="31" t="s">
        <v>50</v>
      </c>
      <c r="D30" s="31" t="s">
        <v>51</v>
      </c>
      <c r="E30" s="31" t="s">
        <v>52</v>
      </c>
      <c r="F30" s="31" t="s">
        <v>11</v>
      </c>
      <c r="G30" s="30">
        <v>500</v>
      </c>
      <c r="H30" s="33" t="s">
        <v>53</v>
      </c>
    </row>
    <row r="31" spans="1:8" ht="17.399999999999999" customHeight="1" x14ac:dyDescent="0.3">
      <c r="A31" s="5">
        <v>2</v>
      </c>
      <c r="B31" s="35">
        <v>45124</v>
      </c>
      <c r="C31" s="31" t="s">
        <v>50</v>
      </c>
      <c r="D31" s="31" t="s">
        <v>51</v>
      </c>
      <c r="E31" s="31" t="s">
        <v>52</v>
      </c>
      <c r="F31" s="31" t="s">
        <v>11</v>
      </c>
      <c r="G31" s="30">
        <v>500</v>
      </c>
      <c r="H31" s="33" t="s">
        <v>53</v>
      </c>
    </row>
    <row r="32" spans="1:8" ht="17.399999999999999" customHeight="1" x14ac:dyDescent="0.3">
      <c r="A32" s="5">
        <v>2</v>
      </c>
      <c r="B32" s="35">
        <v>45141</v>
      </c>
      <c r="C32" s="31" t="s">
        <v>50</v>
      </c>
      <c r="D32" s="31" t="s">
        <v>51</v>
      </c>
      <c r="E32" s="31" t="s">
        <v>52</v>
      </c>
      <c r="F32" s="31" t="s">
        <v>11</v>
      </c>
      <c r="G32" s="30">
        <v>500</v>
      </c>
      <c r="H32" s="33" t="s">
        <v>53</v>
      </c>
    </row>
    <row r="33" spans="1:12" ht="17.399999999999999" customHeight="1" x14ac:dyDescent="0.3">
      <c r="A33" s="5">
        <v>2</v>
      </c>
      <c r="B33" s="35">
        <v>45147</v>
      </c>
      <c r="C33" s="31" t="s">
        <v>50</v>
      </c>
      <c r="D33" s="31" t="s">
        <v>51</v>
      </c>
      <c r="E33" s="31" t="s">
        <v>52</v>
      </c>
      <c r="F33" s="31" t="s">
        <v>11</v>
      </c>
      <c r="G33" s="30">
        <v>300</v>
      </c>
      <c r="H33" s="33" t="s">
        <v>53</v>
      </c>
    </row>
    <row r="34" spans="1:12" ht="17.399999999999999" customHeight="1" x14ac:dyDescent="0.3">
      <c r="A34" s="5">
        <v>2</v>
      </c>
      <c r="B34" s="35">
        <v>45169</v>
      </c>
      <c r="C34" s="31" t="s">
        <v>50</v>
      </c>
      <c r="D34" s="31" t="s">
        <v>51</v>
      </c>
      <c r="E34" s="31" t="s">
        <v>52</v>
      </c>
      <c r="F34" s="31" t="s">
        <v>11</v>
      </c>
      <c r="G34" s="30">
        <v>1500</v>
      </c>
      <c r="H34" s="33" t="s">
        <v>53</v>
      </c>
    </row>
    <row r="35" spans="1:12" ht="17.399999999999999" customHeight="1" x14ac:dyDescent="0.3">
      <c r="A35" s="5">
        <v>2</v>
      </c>
      <c r="B35" s="35">
        <v>45201</v>
      </c>
      <c r="C35" s="31" t="s">
        <v>50</v>
      </c>
      <c r="D35" s="31" t="s">
        <v>51</v>
      </c>
      <c r="E35" s="31" t="s">
        <v>52</v>
      </c>
      <c r="F35" s="31" t="s">
        <v>11</v>
      </c>
      <c r="G35" s="30">
        <v>700</v>
      </c>
      <c r="H35" s="33" t="s">
        <v>53</v>
      </c>
    </row>
    <row r="36" spans="1:12" ht="17.399999999999999" customHeight="1" x14ac:dyDescent="0.3">
      <c r="A36" s="5">
        <v>2</v>
      </c>
      <c r="B36" s="35">
        <v>45230</v>
      </c>
      <c r="C36" s="31" t="s">
        <v>50</v>
      </c>
      <c r="D36" s="31" t="s">
        <v>51</v>
      </c>
      <c r="E36" s="31" t="s">
        <v>52</v>
      </c>
      <c r="F36" s="31" t="s">
        <v>11</v>
      </c>
      <c r="G36" s="30">
        <v>1200</v>
      </c>
      <c r="H36" s="33" t="s">
        <v>53</v>
      </c>
    </row>
    <row r="37" spans="1:12" ht="17.399999999999999" customHeight="1" x14ac:dyDescent="0.3">
      <c r="A37" s="5">
        <v>2</v>
      </c>
      <c r="B37" s="35">
        <v>45260</v>
      </c>
      <c r="C37" s="31" t="s">
        <v>50</v>
      </c>
      <c r="D37" s="31" t="s">
        <v>51</v>
      </c>
      <c r="E37" s="31" t="s">
        <v>52</v>
      </c>
      <c r="F37" s="31" t="s">
        <v>11</v>
      </c>
      <c r="G37" s="30">
        <v>1500</v>
      </c>
      <c r="H37" s="33" t="s">
        <v>53</v>
      </c>
    </row>
    <row r="38" spans="1:12" ht="17.399999999999999" customHeight="1" x14ac:dyDescent="0.3">
      <c r="A38" s="5">
        <v>2</v>
      </c>
      <c r="B38" s="35">
        <v>45291</v>
      </c>
      <c r="C38" s="31" t="s">
        <v>50</v>
      </c>
      <c r="D38" s="31" t="s">
        <v>54</v>
      </c>
      <c r="E38" s="31" t="s">
        <v>52</v>
      </c>
      <c r="F38" s="31" t="s">
        <v>11</v>
      </c>
      <c r="G38" s="30">
        <v>650</v>
      </c>
      <c r="H38" s="33" t="s">
        <v>53</v>
      </c>
    </row>
    <row r="39" spans="1:12" ht="17.399999999999999" customHeight="1" x14ac:dyDescent="0.3">
      <c r="A39" s="5">
        <v>2</v>
      </c>
      <c r="B39" s="35">
        <v>45291</v>
      </c>
      <c r="C39" s="31" t="s">
        <v>50</v>
      </c>
      <c r="D39" s="31" t="s">
        <v>55</v>
      </c>
      <c r="E39" s="31" t="s">
        <v>52</v>
      </c>
      <c r="F39" s="31" t="s">
        <v>11</v>
      </c>
      <c r="G39" s="30">
        <v>2500</v>
      </c>
      <c r="H39" s="33" t="s">
        <v>53</v>
      </c>
    </row>
    <row r="40" spans="1:12" ht="17.399999999999999" customHeight="1" x14ac:dyDescent="0.3">
      <c r="A40" s="5">
        <v>2</v>
      </c>
      <c r="B40" s="35">
        <v>45322</v>
      </c>
      <c r="C40" s="31" t="s">
        <v>50</v>
      </c>
      <c r="D40" s="31" t="s">
        <v>51</v>
      </c>
      <c r="E40" s="31" t="s">
        <v>52</v>
      </c>
      <c r="F40" s="31" t="s">
        <v>11</v>
      </c>
      <c r="G40" s="41">
        <v>2100</v>
      </c>
      <c r="H40" s="33" t="s">
        <v>53</v>
      </c>
    </row>
    <row r="41" spans="1:12" ht="17.399999999999999" customHeight="1" x14ac:dyDescent="0.3">
      <c r="A41" s="5">
        <v>2</v>
      </c>
      <c r="B41" s="35">
        <v>45350</v>
      </c>
      <c r="C41" s="31" t="s">
        <v>50</v>
      </c>
      <c r="D41" s="31" t="s">
        <v>51</v>
      </c>
      <c r="E41" s="31" t="s">
        <v>52</v>
      </c>
      <c r="F41" s="31" t="s">
        <v>11</v>
      </c>
      <c r="G41" s="41">
        <v>1100</v>
      </c>
      <c r="H41" s="33" t="s">
        <v>53</v>
      </c>
    </row>
    <row r="42" spans="1:12" ht="17.399999999999999" customHeight="1" x14ac:dyDescent="0.3">
      <c r="A42" s="5">
        <v>2</v>
      </c>
      <c r="B42" s="35">
        <v>45382</v>
      </c>
      <c r="C42" s="31" t="s">
        <v>50</v>
      </c>
      <c r="D42" s="31" t="s">
        <v>51</v>
      </c>
      <c r="E42" s="31" t="s">
        <v>52</v>
      </c>
      <c r="F42" s="31" t="s">
        <v>11</v>
      </c>
      <c r="G42" s="41">
        <v>1900</v>
      </c>
      <c r="H42" s="33" t="s">
        <v>53</v>
      </c>
    </row>
    <row r="43" spans="1:12" ht="17.399999999999999" customHeight="1" x14ac:dyDescent="0.3">
      <c r="A43" s="5">
        <v>2</v>
      </c>
      <c r="B43" s="35">
        <v>45412</v>
      </c>
      <c r="C43" s="31" t="s">
        <v>50</v>
      </c>
      <c r="D43" s="31" t="s">
        <v>51</v>
      </c>
      <c r="E43" s="31" t="s">
        <v>52</v>
      </c>
      <c r="F43" s="31" t="s">
        <v>11</v>
      </c>
      <c r="G43" s="41">
        <v>1450</v>
      </c>
      <c r="H43" s="33" t="s">
        <v>53</v>
      </c>
      <c r="L43" s="9"/>
    </row>
    <row r="44" spans="1:12" ht="17.399999999999999" customHeight="1" x14ac:dyDescent="0.3">
      <c r="A44" s="5">
        <v>2</v>
      </c>
      <c r="B44" s="35">
        <v>45443</v>
      </c>
      <c r="C44" s="31" t="s">
        <v>50</v>
      </c>
      <c r="D44" s="31" t="s">
        <v>51</v>
      </c>
      <c r="E44" s="31" t="s">
        <v>52</v>
      </c>
      <c r="F44" s="31" t="s">
        <v>11</v>
      </c>
      <c r="G44" s="41">
        <v>769.59</v>
      </c>
      <c r="H44" s="33" t="s">
        <v>53</v>
      </c>
    </row>
    <row r="45" spans="1:12" ht="17.399999999999999" customHeight="1" x14ac:dyDescent="0.3">
      <c r="A45" s="5">
        <v>2</v>
      </c>
      <c r="B45" s="35">
        <v>45443</v>
      </c>
      <c r="C45" s="31" t="s">
        <v>56</v>
      </c>
      <c r="D45" s="31" t="s">
        <v>56</v>
      </c>
      <c r="E45" s="31" t="s">
        <v>52</v>
      </c>
      <c r="F45" s="31" t="s">
        <v>11</v>
      </c>
      <c r="G45" s="30">
        <v>1000</v>
      </c>
      <c r="H45" s="33" t="s">
        <v>53</v>
      </c>
    </row>
    <row r="46" spans="1:12" ht="17.399999999999999" customHeight="1" x14ac:dyDescent="0.3">
      <c r="A46" s="5">
        <v>2</v>
      </c>
      <c r="B46" s="35">
        <v>45473</v>
      </c>
      <c r="C46" s="31" t="s">
        <v>50</v>
      </c>
      <c r="D46" s="31" t="s">
        <v>51</v>
      </c>
      <c r="E46" s="31" t="s">
        <v>52</v>
      </c>
      <c r="F46" s="31" t="s">
        <v>11</v>
      </c>
      <c r="G46" s="41">
        <v>1980</v>
      </c>
      <c r="H46" s="33" t="s">
        <v>53</v>
      </c>
    </row>
    <row r="47" spans="1:12" ht="17.399999999999999" customHeight="1" x14ac:dyDescent="0.3">
      <c r="A47" s="5">
        <v>2</v>
      </c>
      <c r="B47" s="35">
        <v>45565</v>
      </c>
      <c r="C47" s="31" t="s">
        <v>50</v>
      </c>
      <c r="D47" s="31" t="s">
        <v>51</v>
      </c>
      <c r="E47" s="31" t="s">
        <v>52</v>
      </c>
      <c r="F47" s="31" t="s">
        <v>11</v>
      </c>
      <c r="G47" s="41">
        <v>650</v>
      </c>
      <c r="H47" s="33" t="s">
        <v>53</v>
      </c>
    </row>
    <row r="48" spans="1:12" ht="17.399999999999999" customHeight="1" x14ac:dyDescent="0.3">
      <c r="A48" s="5">
        <v>2</v>
      </c>
      <c r="B48" s="35">
        <v>45596</v>
      </c>
      <c r="C48" s="31" t="s">
        <v>50</v>
      </c>
      <c r="D48" s="31" t="s">
        <v>51</v>
      </c>
      <c r="E48" s="31" t="s">
        <v>52</v>
      </c>
      <c r="F48" s="31" t="s">
        <v>11</v>
      </c>
      <c r="G48" s="41">
        <v>1800</v>
      </c>
      <c r="H48" s="33" t="s">
        <v>53</v>
      </c>
    </row>
    <row r="49" spans="1:8" ht="17.399999999999999" customHeight="1" x14ac:dyDescent="0.3">
      <c r="A49" s="5">
        <v>2</v>
      </c>
      <c r="B49" s="35">
        <v>45626</v>
      </c>
      <c r="C49" s="31" t="s">
        <v>56</v>
      </c>
      <c r="D49" s="31" t="s">
        <v>56</v>
      </c>
      <c r="E49" s="31" t="s">
        <v>52</v>
      </c>
      <c r="F49" s="31" t="s">
        <v>11</v>
      </c>
      <c r="G49" s="30">
        <v>1178.6300000000001</v>
      </c>
      <c r="H49" s="33" t="s">
        <v>53</v>
      </c>
    </row>
    <row r="50" spans="1:8" ht="17.399999999999999" customHeight="1" x14ac:dyDescent="0.3">
      <c r="A50" s="5">
        <v>2</v>
      </c>
      <c r="B50" s="35">
        <v>45626</v>
      </c>
      <c r="C50" s="31" t="s">
        <v>50</v>
      </c>
      <c r="D50" s="31" t="s">
        <v>51</v>
      </c>
      <c r="E50" s="31" t="s">
        <v>52</v>
      </c>
      <c r="F50" s="31" t="s">
        <v>11</v>
      </c>
      <c r="G50" s="41">
        <v>1549.84</v>
      </c>
      <c r="H50" s="33" t="s">
        <v>53</v>
      </c>
    </row>
    <row r="51" spans="1:8" ht="17.399999999999999" customHeight="1" x14ac:dyDescent="0.3">
      <c r="A51" s="5">
        <v>2</v>
      </c>
      <c r="B51" s="35">
        <v>45647</v>
      </c>
      <c r="C51" s="31" t="s">
        <v>57</v>
      </c>
      <c r="D51" s="31" t="s">
        <v>57</v>
      </c>
      <c r="E51" s="31" t="s">
        <v>52</v>
      </c>
      <c r="F51" s="31" t="s">
        <v>11</v>
      </c>
      <c r="G51" s="30">
        <v>2000</v>
      </c>
      <c r="H51" s="33" t="s">
        <v>53</v>
      </c>
    </row>
    <row r="52" spans="1:8" ht="17.399999999999999" customHeight="1" x14ac:dyDescent="0.3">
      <c r="A52" s="5">
        <v>2</v>
      </c>
      <c r="B52" s="35">
        <v>45657</v>
      </c>
      <c r="C52" s="31" t="s">
        <v>50</v>
      </c>
      <c r="D52" s="31" t="s">
        <v>51</v>
      </c>
      <c r="E52" s="31" t="s">
        <v>52</v>
      </c>
      <c r="F52" s="31" t="s">
        <v>11</v>
      </c>
      <c r="G52" s="41">
        <v>626.57000000000005</v>
      </c>
      <c r="H52" s="33" t="s">
        <v>53</v>
      </c>
    </row>
    <row r="53" spans="1:8" ht="17.399999999999999" customHeight="1" x14ac:dyDescent="0.3">
      <c r="A53" s="5">
        <v>2</v>
      </c>
      <c r="B53" s="35">
        <v>45657</v>
      </c>
      <c r="C53" s="31" t="s">
        <v>50</v>
      </c>
      <c r="D53" s="31" t="s">
        <v>54</v>
      </c>
      <c r="E53" s="31" t="s">
        <v>52</v>
      </c>
      <c r="F53" s="31" t="s">
        <v>11</v>
      </c>
      <c r="G53" s="30">
        <v>1075</v>
      </c>
      <c r="H53" s="33" t="s">
        <v>53</v>
      </c>
    </row>
    <row r="54" spans="1:8" ht="17.399999999999999" customHeight="1" x14ac:dyDescent="0.3">
      <c r="A54" s="5">
        <v>2</v>
      </c>
      <c r="B54" s="35">
        <v>45657</v>
      </c>
      <c r="C54" s="31" t="s">
        <v>56</v>
      </c>
      <c r="D54" s="31" t="s">
        <v>56</v>
      </c>
      <c r="E54" s="31" t="s">
        <v>52</v>
      </c>
      <c r="F54" s="31" t="s">
        <v>11</v>
      </c>
      <c r="G54" s="30">
        <v>1500</v>
      </c>
      <c r="H54" s="33" t="s">
        <v>53</v>
      </c>
    </row>
    <row r="55" spans="1:8" ht="17.399999999999999" customHeight="1" x14ac:dyDescent="0.3">
      <c r="A55" s="5">
        <v>2</v>
      </c>
      <c r="B55" s="35">
        <v>45678</v>
      </c>
      <c r="C55" s="31" t="s">
        <v>50</v>
      </c>
      <c r="D55" s="31" t="s">
        <v>54</v>
      </c>
      <c r="E55" s="31" t="s">
        <v>52</v>
      </c>
      <c r="F55" s="31" t="s">
        <v>11</v>
      </c>
      <c r="G55" s="30">
        <v>800</v>
      </c>
      <c r="H55" s="33" t="s">
        <v>53</v>
      </c>
    </row>
    <row r="56" spans="1:8" ht="17.399999999999999" customHeight="1" x14ac:dyDescent="0.3">
      <c r="A56" s="5">
        <v>2</v>
      </c>
      <c r="B56" s="35">
        <v>45688</v>
      </c>
      <c r="C56" s="31" t="s">
        <v>50</v>
      </c>
      <c r="D56" s="31" t="s">
        <v>54</v>
      </c>
      <c r="E56" s="31" t="s">
        <v>52</v>
      </c>
      <c r="F56" s="31" t="s">
        <v>11</v>
      </c>
      <c r="G56" s="30">
        <v>1000</v>
      </c>
      <c r="H56" s="33" t="s">
        <v>53</v>
      </c>
    </row>
    <row r="57" spans="1:8" ht="17.399999999999999" customHeight="1" x14ac:dyDescent="0.3">
      <c r="A57" s="5">
        <v>2</v>
      </c>
      <c r="B57" s="35">
        <v>45688</v>
      </c>
      <c r="C57" s="31" t="s">
        <v>50</v>
      </c>
      <c r="D57" s="31" t="s">
        <v>51</v>
      </c>
      <c r="E57" s="31" t="s">
        <v>52</v>
      </c>
      <c r="F57" s="31" t="s">
        <v>11</v>
      </c>
      <c r="G57" s="41">
        <v>1500</v>
      </c>
      <c r="H57" s="33" t="s">
        <v>53</v>
      </c>
    </row>
    <row r="58" spans="1:8" ht="17.399999999999999" customHeight="1" x14ac:dyDescent="0.3">
      <c r="A58" s="5">
        <v>2</v>
      </c>
      <c r="B58" s="35">
        <v>45688</v>
      </c>
      <c r="C58" s="31" t="s">
        <v>56</v>
      </c>
      <c r="D58" s="31" t="s">
        <v>56</v>
      </c>
      <c r="E58" s="31" t="s">
        <v>52</v>
      </c>
      <c r="F58" s="31" t="s">
        <v>11</v>
      </c>
      <c r="G58" s="30">
        <v>3129.77</v>
      </c>
      <c r="H58" s="33" t="s">
        <v>53</v>
      </c>
    </row>
    <row r="59" spans="1:8" ht="17.399999999999999" customHeight="1" x14ac:dyDescent="0.3">
      <c r="A59" s="5">
        <v>2</v>
      </c>
      <c r="B59" s="35">
        <v>45716</v>
      </c>
      <c r="C59" s="31" t="s">
        <v>56</v>
      </c>
      <c r="D59" s="31" t="s">
        <v>56</v>
      </c>
      <c r="E59" s="31" t="s">
        <v>52</v>
      </c>
      <c r="F59" s="31" t="s">
        <v>11</v>
      </c>
      <c r="G59" s="30">
        <v>1200</v>
      </c>
      <c r="H59" s="33" t="s">
        <v>53</v>
      </c>
    </row>
    <row r="60" spans="1:8" ht="17.399999999999999" customHeight="1" x14ac:dyDescent="0.3">
      <c r="A60" s="5">
        <v>2</v>
      </c>
      <c r="B60" s="35">
        <v>45716</v>
      </c>
      <c r="C60" s="31" t="s">
        <v>50</v>
      </c>
      <c r="D60" s="31" t="s">
        <v>51</v>
      </c>
      <c r="E60" s="31" t="s">
        <v>52</v>
      </c>
      <c r="F60" s="31" t="s">
        <v>11</v>
      </c>
      <c r="G60" s="41">
        <v>1950</v>
      </c>
      <c r="H60" s="33" t="s">
        <v>53</v>
      </c>
    </row>
    <row r="61" spans="1:8" ht="17.399999999999999" customHeight="1" x14ac:dyDescent="0.3">
      <c r="A61" s="5">
        <v>2</v>
      </c>
      <c r="B61" s="35">
        <v>45747</v>
      </c>
      <c r="C61" s="31" t="s">
        <v>57</v>
      </c>
      <c r="D61" s="31" t="s">
        <v>57</v>
      </c>
      <c r="E61" s="31" t="s">
        <v>52</v>
      </c>
      <c r="F61" s="31" t="s">
        <v>11</v>
      </c>
      <c r="G61" s="30">
        <v>500</v>
      </c>
      <c r="H61" s="33" t="s">
        <v>53</v>
      </c>
    </row>
    <row r="62" spans="1:8" ht="17.399999999999999" customHeight="1" x14ac:dyDescent="0.3">
      <c r="A62" s="5">
        <v>2</v>
      </c>
      <c r="B62" s="35">
        <v>45747</v>
      </c>
      <c r="C62" s="31" t="s">
        <v>50</v>
      </c>
      <c r="D62" s="31" t="s">
        <v>54</v>
      </c>
      <c r="E62" s="31" t="s">
        <v>52</v>
      </c>
      <c r="F62" s="31" t="s">
        <v>11</v>
      </c>
      <c r="G62" s="30">
        <v>625</v>
      </c>
      <c r="H62" s="33" t="s">
        <v>53</v>
      </c>
    </row>
    <row r="63" spans="1:8" ht="17.399999999999999" customHeight="1" x14ac:dyDescent="0.3">
      <c r="A63" s="5">
        <v>2</v>
      </c>
      <c r="B63" s="35">
        <v>45747</v>
      </c>
      <c r="C63" s="31" t="s">
        <v>56</v>
      </c>
      <c r="D63" s="31" t="s">
        <v>56</v>
      </c>
      <c r="E63" s="31" t="s">
        <v>52</v>
      </c>
      <c r="F63" s="31" t="s">
        <v>11</v>
      </c>
      <c r="G63" s="30">
        <v>991.6</v>
      </c>
      <c r="H63" s="33" t="s">
        <v>53</v>
      </c>
    </row>
    <row r="64" spans="1:8" ht="17.399999999999999" customHeight="1" x14ac:dyDescent="0.3">
      <c r="A64" s="5">
        <v>2</v>
      </c>
      <c r="B64" s="35">
        <v>45747</v>
      </c>
      <c r="C64" s="31" t="s">
        <v>50</v>
      </c>
      <c r="D64" s="31" t="s">
        <v>51</v>
      </c>
      <c r="E64" s="31" t="s">
        <v>52</v>
      </c>
      <c r="F64" s="31" t="s">
        <v>11</v>
      </c>
      <c r="G64" s="41">
        <v>2625</v>
      </c>
      <c r="H64" s="33" t="s">
        <v>53</v>
      </c>
    </row>
    <row r="65" spans="1:8" ht="17.399999999999999" customHeight="1" x14ac:dyDescent="0.3">
      <c r="A65" s="5">
        <v>2</v>
      </c>
      <c r="B65" s="35">
        <v>45751</v>
      </c>
      <c r="C65" s="31" t="s">
        <v>57</v>
      </c>
      <c r="D65" s="31" t="s">
        <v>57</v>
      </c>
      <c r="E65" s="31" t="s">
        <v>52</v>
      </c>
      <c r="F65" s="31" t="s">
        <v>11</v>
      </c>
      <c r="G65" s="30">
        <v>500</v>
      </c>
      <c r="H65" s="33" t="s">
        <v>53</v>
      </c>
    </row>
    <row r="66" spans="1:8" ht="17.399999999999999" customHeight="1" x14ac:dyDescent="0.3">
      <c r="A66" s="5">
        <v>2</v>
      </c>
      <c r="B66" s="35">
        <v>45763</v>
      </c>
      <c r="C66" s="31" t="s">
        <v>57</v>
      </c>
      <c r="D66" s="31" t="s">
        <v>57</v>
      </c>
      <c r="E66" s="31" t="s">
        <v>52</v>
      </c>
      <c r="F66" s="31" t="s">
        <v>11</v>
      </c>
      <c r="G66" s="30">
        <v>750</v>
      </c>
      <c r="H66" s="33" t="s">
        <v>53</v>
      </c>
    </row>
    <row r="67" spans="1:8" ht="17.399999999999999" customHeight="1" x14ac:dyDescent="0.3">
      <c r="A67" s="5">
        <v>2</v>
      </c>
      <c r="B67" s="35">
        <v>45776</v>
      </c>
      <c r="C67" s="31" t="s">
        <v>57</v>
      </c>
      <c r="D67" s="31" t="s">
        <v>57</v>
      </c>
      <c r="E67" s="31" t="s">
        <v>52</v>
      </c>
      <c r="F67" s="31" t="s">
        <v>11</v>
      </c>
      <c r="G67" s="30">
        <v>300</v>
      </c>
      <c r="H67" s="33" t="s">
        <v>53</v>
      </c>
    </row>
    <row r="68" spans="1:8" ht="17.399999999999999" customHeight="1" x14ac:dyDescent="0.3">
      <c r="A68" s="5">
        <v>2</v>
      </c>
      <c r="B68" s="35">
        <v>45776</v>
      </c>
      <c r="C68" s="31" t="s">
        <v>57</v>
      </c>
      <c r="D68" s="31" t="s">
        <v>57</v>
      </c>
      <c r="E68" s="31" t="s">
        <v>52</v>
      </c>
      <c r="F68" s="31" t="s">
        <v>11</v>
      </c>
      <c r="G68" s="30">
        <v>300</v>
      </c>
      <c r="H68" s="33" t="s">
        <v>53</v>
      </c>
    </row>
    <row r="69" spans="1:8" ht="17.399999999999999" customHeight="1" x14ac:dyDescent="0.3">
      <c r="A69" s="5">
        <v>2</v>
      </c>
      <c r="B69" s="35">
        <v>45777</v>
      </c>
      <c r="C69" s="31" t="s">
        <v>50</v>
      </c>
      <c r="D69" s="31" t="s">
        <v>54</v>
      </c>
      <c r="E69" s="31" t="s">
        <v>52</v>
      </c>
      <c r="F69" s="31" t="s">
        <v>11</v>
      </c>
      <c r="G69" s="30">
        <v>1150</v>
      </c>
      <c r="H69" s="33" t="s">
        <v>53</v>
      </c>
    </row>
    <row r="70" spans="1:8" ht="17.399999999999999" customHeight="1" x14ac:dyDescent="0.3">
      <c r="A70" s="5">
        <v>2</v>
      </c>
      <c r="B70" s="35">
        <v>45777</v>
      </c>
      <c r="C70" s="31" t="s">
        <v>56</v>
      </c>
      <c r="D70" s="31" t="s">
        <v>56</v>
      </c>
      <c r="E70" s="31" t="s">
        <v>52</v>
      </c>
      <c r="F70" s="31" t="s">
        <v>11</v>
      </c>
      <c r="G70" s="30">
        <v>2500</v>
      </c>
      <c r="H70" s="33" t="s">
        <v>53</v>
      </c>
    </row>
    <row r="71" spans="1:8" ht="17.399999999999999" customHeight="1" x14ac:dyDescent="0.3">
      <c r="A71" s="5">
        <v>2</v>
      </c>
      <c r="B71" s="35">
        <v>45777</v>
      </c>
      <c r="C71" s="31" t="s">
        <v>50</v>
      </c>
      <c r="D71" s="31" t="s">
        <v>51</v>
      </c>
      <c r="E71" s="31" t="s">
        <v>52</v>
      </c>
      <c r="F71" s="31" t="s">
        <v>11</v>
      </c>
      <c r="G71" s="41">
        <v>4200</v>
      </c>
      <c r="H71" s="33" t="s">
        <v>53</v>
      </c>
    </row>
    <row r="72" spans="1:8" ht="17.399999999999999" customHeight="1" x14ac:dyDescent="0.3">
      <c r="A72" s="5">
        <v>2</v>
      </c>
      <c r="B72" s="35">
        <v>45784</v>
      </c>
      <c r="C72" s="31" t="s">
        <v>50</v>
      </c>
      <c r="D72" s="31" t="s">
        <v>54</v>
      </c>
      <c r="E72" s="31" t="s">
        <v>52</v>
      </c>
      <c r="F72" s="31" t="s">
        <v>11</v>
      </c>
      <c r="G72" s="30">
        <v>600</v>
      </c>
      <c r="H72" s="33" t="s">
        <v>53</v>
      </c>
    </row>
    <row r="73" spans="1:8" ht="17.399999999999999" customHeight="1" x14ac:dyDescent="0.3">
      <c r="A73" s="5">
        <v>2</v>
      </c>
      <c r="B73" s="35">
        <v>45784</v>
      </c>
      <c r="C73" s="31" t="s">
        <v>50</v>
      </c>
      <c r="D73" s="31" t="s">
        <v>51</v>
      </c>
      <c r="E73" s="31" t="s">
        <v>52</v>
      </c>
      <c r="F73" s="31" t="s">
        <v>11</v>
      </c>
      <c r="G73" s="30">
        <v>1400</v>
      </c>
      <c r="H73" s="33" t="s">
        <v>53</v>
      </c>
    </row>
    <row r="74" spans="1:8" ht="17.399999999999999" customHeight="1" x14ac:dyDescent="0.3">
      <c r="A74" s="5">
        <v>2</v>
      </c>
      <c r="B74" s="35">
        <v>45791</v>
      </c>
      <c r="C74" s="31" t="s">
        <v>50</v>
      </c>
      <c r="D74" s="31" t="s">
        <v>51</v>
      </c>
      <c r="E74" s="31" t="s">
        <v>52</v>
      </c>
      <c r="F74" s="31" t="s">
        <v>11</v>
      </c>
      <c r="G74" s="30">
        <v>210</v>
      </c>
      <c r="H74" s="33" t="s">
        <v>53</v>
      </c>
    </row>
    <row r="75" spans="1:8" ht="17.399999999999999" customHeight="1" x14ac:dyDescent="0.3">
      <c r="A75" s="5">
        <v>2</v>
      </c>
      <c r="B75" s="35">
        <v>45803</v>
      </c>
      <c r="C75" s="31" t="s">
        <v>50</v>
      </c>
      <c r="D75" s="31" t="s">
        <v>51</v>
      </c>
      <c r="E75" s="31" t="s">
        <v>52</v>
      </c>
      <c r="F75" s="31" t="s">
        <v>11</v>
      </c>
      <c r="G75" s="30">
        <v>1290</v>
      </c>
      <c r="H75" s="33" t="s">
        <v>53</v>
      </c>
    </row>
    <row r="76" spans="1:8" ht="17.399999999999999" customHeight="1" x14ac:dyDescent="0.3">
      <c r="A76" s="5">
        <v>2</v>
      </c>
      <c r="B76" s="35">
        <v>45808</v>
      </c>
      <c r="C76" s="31" t="s">
        <v>56</v>
      </c>
      <c r="D76" s="31" t="s">
        <v>56</v>
      </c>
      <c r="E76" s="31" t="s">
        <v>52</v>
      </c>
      <c r="F76" s="31" t="s">
        <v>11</v>
      </c>
      <c r="G76" s="30">
        <v>1200</v>
      </c>
      <c r="H76" s="33" t="s">
        <v>53</v>
      </c>
    </row>
    <row r="77" spans="1:8" ht="17.399999999999999" customHeight="1" x14ac:dyDescent="0.3">
      <c r="A77" s="5">
        <v>2</v>
      </c>
      <c r="B77" s="35">
        <v>45810</v>
      </c>
      <c r="C77" s="31" t="s">
        <v>50</v>
      </c>
      <c r="D77" s="31" t="s">
        <v>51</v>
      </c>
      <c r="E77" s="31" t="s">
        <v>52</v>
      </c>
      <c r="F77" s="31" t="s">
        <v>11</v>
      </c>
      <c r="G77" s="30">
        <v>2000</v>
      </c>
      <c r="H77" s="33" t="s">
        <v>53</v>
      </c>
    </row>
    <row r="78" spans="1:8" ht="17.399999999999999" customHeight="1" x14ac:dyDescent="0.3">
      <c r="A78" s="5">
        <v>2</v>
      </c>
      <c r="B78" s="35">
        <v>45821</v>
      </c>
      <c r="C78" s="31" t="s">
        <v>50</v>
      </c>
      <c r="D78" s="31" t="s">
        <v>51</v>
      </c>
      <c r="E78" s="31" t="s">
        <v>52</v>
      </c>
      <c r="F78" s="31" t="s">
        <v>11</v>
      </c>
      <c r="G78" s="30">
        <v>800</v>
      </c>
      <c r="H78" s="33" t="s">
        <v>53</v>
      </c>
    </row>
    <row r="79" spans="1:8" ht="17.399999999999999" customHeight="1" x14ac:dyDescent="0.3">
      <c r="A79" s="5">
        <v>2</v>
      </c>
      <c r="B79" s="35">
        <v>45830</v>
      </c>
      <c r="C79" s="31" t="s">
        <v>50</v>
      </c>
      <c r="D79" s="31" t="s">
        <v>55</v>
      </c>
      <c r="E79" s="31" t="s">
        <v>52</v>
      </c>
      <c r="F79" s="31" t="s">
        <v>11</v>
      </c>
      <c r="G79" s="30">
        <v>1000</v>
      </c>
      <c r="H79" s="33" t="s">
        <v>53</v>
      </c>
    </row>
    <row r="80" spans="1:8" ht="17.399999999999999" customHeight="1" x14ac:dyDescent="0.3">
      <c r="A80" s="5">
        <v>2</v>
      </c>
      <c r="B80" s="35">
        <v>45838</v>
      </c>
      <c r="C80" s="31" t="s">
        <v>50</v>
      </c>
      <c r="D80" s="31" t="s">
        <v>54</v>
      </c>
      <c r="E80" s="31" t="s">
        <v>52</v>
      </c>
      <c r="F80" s="31" t="s">
        <v>11</v>
      </c>
      <c r="G80" s="30">
        <v>500</v>
      </c>
      <c r="H80" s="33" t="s">
        <v>53</v>
      </c>
    </row>
    <row r="81" spans="1:11" ht="17.399999999999999" customHeight="1" x14ac:dyDescent="0.3">
      <c r="A81" s="5">
        <v>2</v>
      </c>
      <c r="B81" s="35">
        <v>45838</v>
      </c>
      <c r="C81" s="31" t="s">
        <v>50</v>
      </c>
      <c r="D81" s="31" t="s">
        <v>51</v>
      </c>
      <c r="E81" s="31" t="s">
        <v>52</v>
      </c>
      <c r="F81" s="31" t="s">
        <v>11</v>
      </c>
      <c r="G81" s="30">
        <v>1500</v>
      </c>
      <c r="H81" s="33" t="s">
        <v>53</v>
      </c>
    </row>
    <row r="82" spans="1:11" ht="17.399999999999999" customHeight="1" x14ac:dyDescent="0.3">
      <c r="A82" s="5">
        <v>2</v>
      </c>
      <c r="B82" s="35">
        <v>45838</v>
      </c>
      <c r="C82" s="31" t="s">
        <v>56</v>
      </c>
      <c r="D82" s="31" t="s">
        <v>56</v>
      </c>
      <c r="E82" s="31" t="s">
        <v>52</v>
      </c>
      <c r="F82" s="31" t="s">
        <v>11</v>
      </c>
      <c r="G82" s="30">
        <v>3300</v>
      </c>
      <c r="H82" s="33" t="s">
        <v>53</v>
      </c>
    </row>
    <row r="83" spans="1:11" ht="17.399999999999999" customHeight="1" x14ac:dyDescent="0.3">
      <c r="A83" s="5">
        <v>2</v>
      </c>
      <c r="B83" s="35">
        <v>45852</v>
      </c>
      <c r="C83" s="31" t="s">
        <v>57</v>
      </c>
      <c r="D83" s="31" t="s">
        <v>57</v>
      </c>
      <c r="E83" s="31" t="s">
        <v>52</v>
      </c>
      <c r="F83" s="31" t="s">
        <v>11</v>
      </c>
      <c r="G83" s="30">
        <v>1000</v>
      </c>
      <c r="H83" s="33" t="s">
        <v>53</v>
      </c>
    </row>
    <row r="84" spans="1:11" ht="17.399999999999999" customHeight="1" x14ac:dyDescent="0.3">
      <c r="A84" s="5">
        <v>2</v>
      </c>
      <c r="B84" s="35">
        <v>45858</v>
      </c>
      <c r="C84" s="31" t="s">
        <v>50</v>
      </c>
      <c r="D84" s="31" t="s">
        <v>51</v>
      </c>
      <c r="E84" s="31" t="s">
        <v>52</v>
      </c>
      <c r="F84" s="31" t="s">
        <v>11</v>
      </c>
      <c r="G84" s="30">
        <v>1750.86</v>
      </c>
      <c r="H84" s="33" t="s">
        <v>53</v>
      </c>
    </row>
    <row r="85" spans="1:11" ht="17.399999999999999" customHeight="1" x14ac:dyDescent="0.3">
      <c r="A85" s="5">
        <v>2</v>
      </c>
      <c r="B85" s="35">
        <v>45869</v>
      </c>
      <c r="C85" s="31" t="s">
        <v>56</v>
      </c>
      <c r="D85" s="31" t="s">
        <v>56</v>
      </c>
      <c r="E85" s="31" t="s">
        <v>52</v>
      </c>
      <c r="F85" s="31" t="s">
        <v>11</v>
      </c>
      <c r="G85" s="30">
        <v>998.93</v>
      </c>
      <c r="H85" s="33" t="s">
        <v>53</v>
      </c>
      <c r="K85" s="9"/>
    </row>
    <row r="86" spans="1:11" ht="17.399999999999999" customHeight="1" x14ac:dyDescent="0.3">
      <c r="A86" s="5">
        <v>2</v>
      </c>
      <c r="B86" s="35">
        <v>45873</v>
      </c>
      <c r="C86" s="31" t="s">
        <v>50</v>
      </c>
      <c r="D86" s="31" t="s">
        <v>51</v>
      </c>
      <c r="E86" s="31" t="s">
        <v>52</v>
      </c>
      <c r="F86" s="31" t="s">
        <v>11</v>
      </c>
      <c r="G86" s="30">
        <v>1400</v>
      </c>
      <c r="H86" s="33" t="s">
        <v>53</v>
      </c>
    </row>
    <row r="87" spans="1:11" ht="17.399999999999999" customHeight="1" x14ac:dyDescent="0.3">
      <c r="A87" s="5">
        <v>2</v>
      </c>
      <c r="B87" s="35">
        <v>45875</v>
      </c>
      <c r="C87" s="31" t="s">
        <v>50</v>
      </c>
      <c r="D87" s="31" t="s">
        <v>51</v>
      </c>
      <c r="E87" s="31" t="s">
        <v>52</v>
      </c>
      <c r="F87" s="31" t="s">
        <v>11</v>
      </c>
      <c r="G87" s="30">
        <v>1000</v>
      </c>
      <c r="H87" s="33" t="s">
        <v>53</v>
      </c>
    </row>
    <row r="88" spans="1:11" ht="17.399999999999999" customHeight="1" x14ac:dyDescent="0.3">
      <c r="A88" s="5">
        <v>2</v>
      </c>
      <c r="B88" s="35">
        <v>45900</v>
      </c>
      <c r="C88" s="31" t="s">
        <v>56</v>
      </c>
      <c r="D88" s="31" t="s">
        <v>56</v>
      </c>
      <c r="E88" s="31" t="s">
        <v>52</v>
      </c>
      <c r="F88" s="31" t="s">
        <v>11</v>
      </c>
      <c r="G88" s="30">
        <v>1000</v>
      </c>
      <c r="H88" s="33" t="s">
        <v>53</v>
      </c>
      <c r="K88" s="9"/>
    </row>
    <row r="89" spans="1:11" ht="17.399999999999999" customHeight="1" x14ac:dyDescent="0.3">
      <c r="A89" s="5">
        <v>2</v>
      </c>
      <c r="B89" s="35">
        <v>43997</v>
      </c>
      <c r="C89" s="31" t="s">
        <v>50</v>
      </c>
      <c r="D89" s="32" t="s">
        <v>59</v>
      </c>
      <c r="E89" s="31" t="s">
        <v>40</v>
      </c>
      <c r="F89" s="31" t="s">
        <v>33</v>
      </c>
      <c r="G89" s="30">
        <v>200</v>
      </c>
      <c r="H89" s="32" t="s">
        <v>53</v>
      </c>
    </row>
    <row r="90" spans="1:11" ht="17.399999999999999" customHeight="1" x14ac:dyDescent="0.3">
      <c r="A90" s="5">
        <v>2</v>
      </c>
      <c r="B90" s="35">
        <v>44047</v>
      </c>
      <c r="C90" s="31" t="s">
        <v>50</v>
      </c>
      <c r="D90" s="32" t="s">
        <v>59</v>
      </c>
      <c r="E90" s="31" t="s">
        <v>40</v>
      </c>
      <c r="F90" s="31" t="s">
        <v>33</v>
      </c>
      <c r="G90" s="30">
        <v>200</v>
      </c>
      <c r="H90" s="32" t="s">
        <v>53</v>
      </c>
    </row>
    <row r="91" spans="1:11" ht="17.399999999999999" customHeight="1" x14ac:dyDescent="0.3">
      <c r="A91" s="5">
        <v>2</v>
      </c>
      <c r="B91" s="35">
        <v>44074</v>
      </c>
      <c r="C91" s="31" t="s">
        <v>50</v>
      </c>
      <c r="D91" s="32" t="s">
        <v>59</v>
      </c>
      <c r="E91" s="31" t="s">
        <v>40</v>
      </c>
      <c r="F91" s="31" t="s">
        <v>33</v>
      </c>
      <c r="G91" s="30">
        <v>100</v>
      </c>
      <c r="H91" s="32" t="s">
        <v>53</v>
      </c>
    </row>
    <row r="92" spans="1:11" ht="17.399999999999999" customHeight="1" x14ac:dyDescent="0.3">
      <c r="A92" s="5">
        <v>2</v>
      </c>
      <c r="B92" s="35">
        <v>44105</v>
      </c>
      <c r="C92" s="31" t="s">
        <v>50</v>
      </c>
      <c r="D92" s="32" t="s">
        <v>59</v>
      </c>
      <c r="E92" s="31" t="s">
        <v>40</v>
      </c>
      <c r="F92" s="31" t="s">
        <v>33</v>
      </c>
      <c r="G92" s="30">
        <v>200</v>
      </c>
      <c r="H92" s="32" t="s">
        <v>53</v>
      </c>
    </row>
    <row r="93" spans="1:11" ht="17.399999999999999" customHeight="1" x14ac:dyDescent="0.3">
      <c r="A93" s="5">
        <v>2</v>
      </c>
      <c r="B93" s="35">
        <v>44144</v>
      </c>
      <c r="C93" s="31" t="s">
        <v>50</v>
      </c>
      <c r="D93" s="32" t="s">
        <v>59</v>
      </c>
      <c r="E93" s="31" t="s">
        <v>40</v>
      </c>
      <c r="F93" s="31" t="s">
        <v>33</v>
      </c>
      <c r="G93" s="30">
        <v>100</v>
      </c>
      <c r="H93" s="32" t="s">
        <v>53</v>
      </c>
    </row>
    <row r="94" spans="1:11" ht="17.399999999999999" customHeight="1" x14ac:dyDescent="0.3">
      <c r="A94" s="5">
        <v>2</v>
      </c>
      <c r="B94" s="35">
        <v>44159</v>
      </c>
      <c r="C94" s="31" t="s">
        <v>50</v>
      </c>
      <c r="D94" s="32" t="s">
        <v>59</v>
      </c>
      <c r="E94" s="31" t="s">
        <v>40</v>
      </c>
      <c r="F94" s="31" t="s">
        <v>33</v>
      </c>
      <c r="G94" s="30">
        <v>100</v>
      </c>
      <c r="H94" s="32" t="s">
        <v>53</v>
      </c>
    </row>
    <row r="95" spans="1:11" ht="17.399999999999999" customHeight="1" x14ac:dyDescent="0.3">
      <c r="A95" s="5">
        <v>2</v>
      </c>
      <c r="B95" s="35">
        <v>44207</v>
      </c>
      <c r="C95" s="31" t="s">
        <v>50</v>
      </c>
      <c r="D95" s="32" t="s">
        <v>59</v>
      </c>
      <c r="E95" s="31" t="s">
        <v>40</v>
      </c>
      <c r="F95" s="31" t="s">
        <v>33</v>
      </c>
      <c r="G95" s="30">
        <v>100</v>
      </c>
      <c r="H95" s="32" t="s">
        <v>53</v>
      </c>
    </row>
    <row r="96" spans="1:11" ht="17.399999999999999" customHeight="1" x14ac:dyDescent="0.3">
      <c r="A96" s="5">
        <v>2</v>
      </c>
      <c r="B96" s="35">
        <v>44305</v>
      </c>
      <c r="C96" s="31" t="s">
        <v>50</v>
      </c>
      <c r="D96" s="32" t="s">
        <v>59</v>
      </c>
      <c r="E96" s="31" t="s">
        <v>40</v>
      </c>
      <c r="F96" s="31" t="s">
        <v>33</v>
      </c>
      <c r="G96" s="30">
        <v>400</v>
      </c>
      <c r="H96" s="32" t="s">
        <v>53</v>
      </c>
    </row>
    <row r="97" spans="1:11" ht="17.399999999999999" customHeight="1" x14ac:dyDescent="0.3">
      <c r="A97" s="5">
        <v>2</v>
      </c>
      <c r="B97" s="35">
        <v>44347</v>
      </c>
      <c r="C97" s="31" t="s">
        <v>50</v>
      </c>
      <c r="D97" s="32" t="s">
        <v>59</v>
      </c>
      <c r="E97" s="31" t="s">
        <v>40</v>
      </c>
      <c r="F97" s="31" t="s">
        <v>33</v>
      </c>
      <c r="G97" s="30">
        <v>600</v>
      </c>
      <c r="H97" s="32" t="s">
        <v>53</v>
      </c>
    </row>
    <row r="98" spans="1:11" ht="17.399999999999999" customHeight="1" x14ac:dyDescent="0.3">
      <c r="A98" s="5">
        <v>2</v>
      </c>
      <c r="B98" s="35">
        <v>44396</v>
      </c>
      <c r="C98" s="31" t="s">
        <v>50</v>
      </c>
      <c r="D98" s="32" t="s">
        <v>59</v>
      </c>
      <c r="E98" s="31" t="s">
        <v>40</v>
      </c>
      <c r="F98" s="31" t="s">
        <v>33</v>
      </c>
      <c r="G98" s="30">
        <v>1000</v>
      </c>
      <c r="H98" s="32" t="s">
        <v>53</v>
      </c>
    </row>
    <row r="99" spans="1:11" ht="17.399999999999999" customHeight="1" x14ac:dyDescent="0.3">
      <c r="A99" s="5">
        <v>2</v>
      </c>
      <c r="B99" s="35">
        <v>44470</v>
      </c>
      <c r="C99" s="31" t="s">
        <v>50</v>
      </c>
      <c r="D99" s="32" t="s">
        <v>58</v>
      </c>
      <c r="E99" s="31" t="s">
        <v>40</v>
      </c>
      <c r="F99" s="31" t="s">
        <v>11</v>
      </c>
      <c r="G99" s="30">
        <v>628</v>
      </c>
      <c r="H99" s="32" t="s">
        <v>53</v>
      </c>
    </row>
    <row r="100" spans="1:11" ht="17.399999999999999" customHeight="1" x14ac:dyDescent="0.3">
      <c r="A100" s="5">
        <v>2</v>
      </c>
      <c r="B100" s="35">
        <v>44470</v>
      </c>
      <c r="C100" s="31" t="s">
        <v>50</v>
      </c>
      <c r="D100" s="32" t="s">
        <v>59</v>
      </c>
      <c r="E100" s="31" t="s">
        <v>40</v>
      </c>
      <c r="F100" s="31" t="s">
        <v>33</v>
      </c>
      <c r="G100" s="30">
        <v>3482.82</v>
      </c>
      <c r="H100" s="32" t="s">
        <v>53</v>
      </c>
    </row>
    <row r="101" spans="1:11" ht="17.399999999999999" customHeight="1" x14ac:dyDescent="0.3">
      <c r="A101" s="5">
        <v>2</v>
      </c>
      <c r="B101" s="35">
        <v>44592</v>
      </c>
      <c r="C101" s="31" t="s">
        <v>50</v>
      </c>
      <c r="D101" s="32" t="s">
        <v>59</v>
      </c>
      <c r="E101" s="31" t="s">
        <v>40</v>
      </c>
      <c r="F101" s="31" t="s">
        <v>33</v>
      </c>
      <c r="G101" s="30">
        <v>806.1</v>
      </c>
      <c r="H101" s="32" t="s">
        <v>53</v>
      </c>
    </row>
    <row r="102" spans="1:11" ht="17.399999999999999" customHeight="1" x14ac:dyDescent="0.3">
      <c r="A102" s="5">
        <v>2</v>
      </c>
      <c r="B102" s="35">
        <v>44651</v>
      </c>
      <c r="C102" s="31" t="s">
        <v>50</v>
      </c>
      <c r="D102" s="32" t="s">
        <v>59</v>
      </c>
      <c r="E102" s="31" t="s">
        <v>40</v>
      </c>
      <c r="F102" s="31" t="s">
        <v>33</v>
      </c>
      <c r="G102" s="30">
        <v>157.44999999999999</v>
      </c>
      <c r="H102" s="32" t="s">
        <v>53</v>
      </c>
    </row>
    <row r="103" spans="1:11" ht="17.399999999999999" customHeight="1" x14ac:dyDescent="0.3">
      <c r="A103" s="5">
        <v>2</v>
      </c>
      <c r="B103" s="35">
        <v>44681</v>
      </c>
      <c r="C103" s="31" t="s">
        <v>50</v>
      </c>
      <c r="D103" s="32" t="s">
        <v>59</v>
      </c>
      <c r="E103" s="31" t="s">
        <v>40</v>
      </c>
      <c r="F103" s="31" t="s">
        <v>33</v>
      </c>
      <c r="G103" s="30">
        <v>88.93</v>
      </c>
      <c r="H103" s="32" t="s">
        <v>53</v>
      </c>
    </row>
    <row r="104" spans="1:11" ht="17.399999999999999" customHeight="1" x14ac:dyDescent="0.3">
      <c r="A104" s="5">
        <v>2</v>
      </c>
      <c r="B104" s="35">
        <v>44681</v>
      </c>
      <c r="C104" s="31" t="s">
        <v>50</v>
      </c>
      <c r="D104" s="32" t="s">
        <v>61</v>
      </c>
      <c r="E104" s="31" t="s">
        <v>40</v>
      </c>
      <c r="F104" s="31" t="s">
        <v>33</v>
      </c>
      <c r="G104" s="30">
        <v>200</v>
      </c>
      <c r="H104" s="32" t="s">
        <v>53</v>
      </c>
    </row>
    <row r="105" spans="1:11" ht="17.399999999999999" customHeight="1" x14ac:dyDescent="0.3">
      <c r="A105" s="5">
        <v>2</v>
      </c>
      <c r="B105" s="35">
        <v>44712</v>
      </c>
      <c r="C105" s="31" t="s">
        <v>50</v>
      </c>
      <c r="D105" s="32" t="s">
        <v>59</v>
      </c>
      <c r="E105" s="31" t="s">
        <v>40</v>
      </c>
      <c r="F105" s="31" t="s">
        <v>33</v>
      </c>
      <c r="G105" s="30">
        <v>488.74</v>
      </c>
      <c r="H105" s="32" t="s">
        <v>53</v>
      </c>
      <c r="J105" s="53"/>
    </row>
    <row r="106" spans="1:11" ht="17.399999999999999" customHeight="1" x14ac:dyDescent="0.3">
      <c r="A106" s="5">
        <v>2</v>
      </c>
      <c r="B106" s="35">
        <v>44742</v>
      </c>
      <c r="C106" s="31" t="s">
        <v>50</v>
      </c>
      <c r="D106" s="32" t="s">
        <v>59</v>
      </c>
      <c r="E106" s="31" t="s">
        <v>40</v>
      </c>
      <c r="F106" s="31" t="s">
        <v>33</v>
      </c>
      <c r="G106" s="30">
        <v>460.51</v>
      </c>
      <c r="H106" s="32" t="s">
        <v>53</v>
      </c>
      <c r="J106" s="53"/>
    </row>
    <row r="107" spans="1:11" ht="17.399999999999999" customHeight="1" x14ac:dyDescent="0.3">
      <c r="A107" s="5">
        <v>2</v>
      </c>
      <c r="B107" s="35">
        <v>44773</v>
      </c>
      <c r="C107" s="31" t="s">
        <v>50</v>
      </c>
      <c r="D107" s="32" t="s">
        <v>62</v>
      </c>
      <c r="E107" s="31" t="s">
        <v>40</v>
      </c>
      <c r="F107" s="31" t="s">
        <v>11</v>
      </c>
      <c r="G107" s="30">
        <v>49.04</v>
      </c>
      <c r="H107" s="32" t="s">
        <v>53</v>
      </c>
      <c r="J107" s="53"/>
    </row>
    <row r="108" spans="1:11" ht="17.399999999999999" customHeight="1" x14ac:dyDescent="0.3">
      <c r="A108" s="5">
        <v>2</v>
      </c>
      <c r="B108" s="38">
        <v>44796</v>
      </c>
      <c r="C108" s="39" t="s">
        <v>50</v>
      </c>
      <c r="D108" s="39" t="s">
        <v>59</v>
      </c>
      <c r="E108" s="39" t="s">
        <v>40</v>
      </c>
      <c r="F108" s="39" t="s">
        <v>33</v>
      </c>
      <c r="G108" s="40">
        <v>342.92</v>
      </c>
      <c r="H108" s="39" t="s">
        <v>53</v>
      </c>
      <c r="J108" s="53"/>
    </row>
    <row r="109" spans="1:11" ht="17.399999999999999" customHeight="1" x14ac:dyDescent="0.3">
      <c r="A109" s="5">
        <v>2</v>
      </c>
      <c r="B109" s="38">
        <v>44825</v>
      </c>
      <c r="C109" s="39" t="s">
        <v>50</v>
      </c>
      <c r="D109" s="39" t="s">
        <v>59</v>
      </c>
      <c r="E109" s="39" t="s">
        <v>40</v>
      </c>
      <c r="F109" s="39" t="s">
        <v>33</v>
      </c>
      <c r="G109" s="40">
        <v>103.99</v>
      </c>
      <c r="H109" s="39" t="s">
        <v>53</v>
      </c>
      <c r="J109" s="53"/>
      <c r="K109" s="9"/>
    </row>
    <row r="110" spans="1:11" ht="17.399999999999999" customHeight="1" x14ac:dyDescent="0.3">
      <c r="A110" s="5">
        <v>2</v>
      </c>
      <c r="B110" s="50">
        <v>44834</v>
      </c>
      <c r="C110" s="31" t="s">
        <v>50</v>
      </c>
      <c r="D110" s="32" t="s">
        <v>62</v>
      </c>
      <c r="E110" s="31" t="s">
        <v>40</v>
      </c>
      <c r="F110" s="31" t="s">
        <v>11</v>
      </c>
      <c r="G110" s="30">
        <v>521.20000000000005</v>
      </c>
      <c r="H110" s="32" t="s">
        <v>53</v>
      </c>
      <c r="J110" s="53"/>
    </row>
    <row r="111" spans="1:11" ht="17.399999999999999" customHeight="1" x14ac:dyDescent="0.3">
      <c r="A111" s="5">
        <v>2</v>
      </c>
      <c r="B111" s="50">
        <v>44865</v>
      </c>
      <c r="C111" s="31" t="s">
        <v>50</v>
      </c>
      <c r="D111" s="32" t="s">
        <v>59</v>
      </c>
      <c r="E111" s="31" t="s">
        <v>40</v>
      </c>
      <c r="F111" s="31" t="s">
        <v>33</v>
      </c>
      <c r="G111" s="30">
        <v>500</v>
      </c>
      <c r="H111" s="32" t="s">
        <v>53</v>
      </c>
      <c r="J111" s="53"/>
    </row>
    <row r="112" spans="1:11" ht="17.399999999999999" customHeight="1" x14ac:dyDescent="0.3">
      <c r="A112" s="5">
        <v>2</v>
      </c>
      <c r="B112" s="38">
        <v>44873</v>
      </c>
      <c r="C112" s="39" t="s">
        <v>50</v>
      </c>
      <c r="D112" s="39" t="s">
        <v>59</v>
      </c>
      <c r="E112" s="39" t="s">
        <v>40</v>
      </c>
      <c r="F112" s="39" t="s">
        <v>33</v>
      </c>
      <c r="G112" s="40">
        <v>1000</v>
      </c>
      <c r="H112" s="39" t="s">
        <v>53</v>
      </c>
      <c r="J112" s="53"/>
    </row>
    <row r="113" spans="1:11" ht="17.399999999999999" customHeight="1" x14ac:dyDescent="0.3">
      <c r="A113" s="5">
        <v>2</v>
      </c>
      <c r="B113" s="50">
        <v>44895</v>
      </c>
      <c r="C113" s="31" t="s">
        <v>50</v>
      </c>
      <c r="D113" s="32" t="s">
        <v>59</v>
      </c>
      <c r="E113" s="31" t="s">
        <v>40</v>
      </c>
      <c r="F113" s="31" t="s">
        <v>33</v>
      </c>
      <c r="G113" s="30">
        <v>310.04000000000002</v>
      </c>
      <c r="H113" s="32" t="s">
        <v>53</v>
      </c>
      <c r="J113" s="53"/>
    </row>
    <row r="114" spans="1:11" ht="17.399999999999999" customHeight="1" x14ac:dyDescent="0.3">
      <c r="A114" s="5">
        <v>2</v>
      </c>
      <c r="B114" s="50">
        <v>44926</v>
      </c>
      <c r="C114" s="31" t="s">
        <v>50</v>
      </c>
      <c r="D114" s="32" t="s">
        <v>59</v>
      </c>
      <c r="E114" s="31" t="s">
        <v>40</v>
      </c>
      <c r="F114" s="31" t="s">
        <v>33</v>
      </c>
      <c r="G114" s="30">
        <v>390</v>
      </c>
      <c r="H114" s="32" t="s">
        <v>53</v>
      </c>
      <c r="J114" s="53"/>
    </row>
    <row r="115" spans="1:11" ht="17.399999999999999" customHeight="1" x14ac:dyDescent="0.3">
      <c r="A115" s="5">
        <v>2</v>
      </c>
      <c r="B115" s="50">
        <v>44926</v>
      </c>
      <c r="C115" s="31" t="s">
        <v>50</v>
      </c>
      <c r="D115" s="36" t="s">
        <v>64</v>
      </c>
      <c r="E115" s="31" t="s">
        <v>40</v>
      </c>
      <c r="F115" s="31" t="s">
        <v>11</v>
      </c>
      <c r="G115" s="30">
        <v>689.98</v>
      </c>
      <c r="H115" s="32" t="s">
        <v>53</v>
      </c>
      <c r="J115" s="53"/>
    </row>
    <row r="116" spans="1:11" ht="17.399999999999999" customHeight="1" x14ac:dyDescent="0.3">
      <c r="A116" s="5">
        <v>2</v>
      </c>
      <c r="B116" s="35">
        <v>44951</v>
      </c>
      <c r="C116" s="31" t="s">
        <v>50</v>
      </c>
      <c r="D116" s="31" t="s">
        <v>59</v>
      </c>
      <c r="E116" s="31" t="s">
        <v>40</v>
      </c>
      <c r="F116" s="31" t="s">
        <v>33</v>
      </c>
      <c r="G116" s="30">
        <v>748.42</v>
      </c>
      <c r="H116" s="33" t="s">
        <v>53</v>
      </c>
      <c r="J116" s="53"/>
    </row>
    <row r="117" spans="1:11" ht="17.399999999999999" customHeight="1" x14ac:dyDescent="0.3">
      <c r="A117" s="5">
        <v>2</v>
      </c>
      <c r="B117" s="50">
        <v>44957</v>
      </c>
      <c r="C117" s="31" t="s">
        <v>50</v>
      </c>
      <c r="D117" s="32" t="s">
        <v>62</v>
      </c>
      <c r="E117" s="31" t="s">
        <v>40</v>
      </c>
      <c r="F117" s="31" t="s">
        <v>11</v>
      </c>
      <c r="G117" s="52">
        <v>1412.31</v>
      </c>
      <c r="H117" s="48" t="s">
        <v>53</v>
      </c>
      <c r="J117" s="53"/>
    </row>
    <row r="118" spans="1:11" ht="17.399999999999999" customHeight="1" x14ac:dyDescent="0.3">
      <c r="A118" s="5">
        <v>2</v>
      </c>
      <c r="B118" s="35">
        <v>44984</v>
      </c>
      <c r="C118" s="31" t="s">
        <v>50</v>
      </c>
      <c r="D118" s="31" t="s">
        <v>59</v>
      </c>
      <c r="E118" s="31" t="s">
        <v>40</v>
      </c>
      <c r="F118" s="31" t="s">
        <v>33</v>
      </c>
      <c r="G118" s="30">
        <v>1318.11</v>
      </c>
      <c r="H118" s="33" t="s">
        <v>53</v>
      </c>
      <c r="J118" s="53"/>
    </row>
    <row r="119" spans="1:11" ht="17.399999999999999" customHeight="1" x14ac:dyDescent="0.3">
      <c r="A119" s="5">
        <v>2</v>
      </c>
      <c r="B119" s="50">
        <v>45016</v>
      </c>
      <c r="C119" s="31" t="s">
        <v>50</v>
      </c>
      <c r="D119" s="31" t="s">
        <v>62</v>
      </c>
      <c r="E119" s="31" t="s">
        <v>40</v>
      </c>
      <c r="F119" s="31" t="s">
        <v>11</v>
      </c>
      <c r="G119" s="52">
        <v>2260.42</v>
      </c>
      <c r="H119" s="33" t="s">
        <v>53</v>
      </c>
      <c r="J119" s="53"/>
    </row>
    <row r="120" spans="1:11" ht="17.399999999999999" customHeight="1" x14ac:dyDescent="0.3">
      <c r="A120" s="5">
        <v>2</v>
      </c>
      <c r="B120" s="35">
        <v>45046</v>
      </c>
      <c r="C120" s="31" t="s">
        <v>50</v>
      </c>
      <c r="D120" s="31" t="s">
        <v>59</v>
      </c>
      <c r="E120" s="31" t="s">
        <v>40</v>
      </c>
      <c r="F120" s="31" t="s">
        <v>33</v>
      </c>
      <c r="G120" s="30">
        <v>976.77</v>
      </c>
      <c r="H120" s="33" t="s">
        <v>53</v>
      </c>
      <c r="J120" s="53"/>
    </row>
    <row r="121" spans="1:11" ht="17.399999999999999" customHeight="1" x14ac:dyDescent="0.3">
      <c r="A121" s="5">
        <v>2</v>
      </c>
      <c r="B121" s="50">
        <v>45077</v>
      </c>
      <c r="C121" s="31" t="s">
        <v>50</v>
      </c>
      <c r="D121" s="31" t="s">
        <v>62</v>
      </c>
      <c r="E121" s="31" t="s">
        <v>40</v>
      </c>
      <c r="F121" s="31" t="s">
        <v>11</v>
      </c>
      <c r="G121" s="52">
        <v>980.2</v>
      </c>
      <c r="H121" s="33" t="s">
        <v>53</v>
      </c>
      <c r="J121" s="53"/>
    </row>
    <row r="122" spans="1:11" ht="17.399999999999999" customHeight="1" x14ac:dyDescent="0.3">
      <c r="A122" s="5">
        <v>2</v>
      </c>
      <c r="B122" s="35">
        <v>45090</v>
      </c>
      <c r="C122" s="31" t="s">
        <v>50</v>
      </c>
      <c r="D122" s="31" t="s">
        <v>59</v>
      </c>
      <c r="E122" s="31" t="s">
        <v>40</v>
      </c>
      <c r="F122" s="31" t="s">
        <v>33</v>
      </c>
      <c r="G122" s="30">
        <v>426.33</v>
      </c>
      <c r="H122" s="33" t="s">
        <v>53</v>
      </c>
      <c r="J122" s="53"/>
    </row>
    <row r="123" spans="1:11" ht="17.399999999999999" customHeight="1" x14ac:dyDescent="0.3">
      <c r="A123" s="5">
        <v>2</v>
      </c>
      <c r="B123" s="35">
        <v>45124</v>
      </c>
      <c r="C123" s="31" t="s">
        <v>50</v>
      </c>
      <c r="D123" s="31" t="s">
        <v>59</v>
      </c>
      <c r="E123" s="31" t="s">
        <v>40</v>
      </c>
      <c r="F123" s="31" t="s">
        <v>33</v>
      </c>
      <c r="G123" s="30">
        <v>343.63</v>
      </c>
      <c r="H123" s="33" t="s">
        <v>53</v>
      </c>
      <c r="J123" s="53"/>
    </row>
    <row r="124" spans="1:11" ht="17.399999999999999" customHeight="1" x14ac:dyDescent="0.3">
      <c r="A124" s="5">
        <v>2</v>
      </c>
      <c r="B124" s="35">
        <v>45141</v>
      </c>
      <c r="C124" s="31" t="s">
        <v>50</v>
      </c>
      <c r="D124" s="31" t="s">
        <v>59</v>
      </c>
      <c r="E124" s="31" t="s">
        <v>40</v>
      </c>
      <c r="F124" s="31" t="s">
        <v>33</v>
      </c>
      <c r="G124" s="30">
        <v>500</v>
      </c>
      <c r="H124" s="33" t="s">
        <v>53</v>
      </c>
      <c r="J124" s="53"/>
    </row>
    <row r="125" spans="1:11" ht="17.399999999999999" customHeight="1" x14ac:dyDescent="0.3">
      <c r="A125" s="5">
        <v>2</v>
      </c>
      <c r="B125" s="35">
        <v>45147</v>
      </c>
      <c r="C125" s="31" t="s">
        <v>50</v>
      </c>
      <c r="D125" s="31" t="s">
        <v>59</v>
      </c>
      <c r="E125" s="31" t="s">
        <v>40</v>
      </c>
      <c r="F125" s="31" t="s">
        <v>33</v>
      </c>
      <c r="G125" s="30">
        <v>300</v>
      </c>
      <c r="H125" s="33" t="s">
        <v>53</v>
      </c>
      <c r="J125" s="53"/>
      <c r="K125" s="9"/>
    </row>
    <row r="126" spans="1:11" ht="17.399999999999999" customHeight="1" x14ac:dyDescent="0.3">
      <c r="A126" s="5">
        <v>2</v>
      </c>
      <c r="B126" s="35">
        <v>45169</v>
      </c>
      <c r="C126" s="31" t="s">
        <v>50</v>
      </c>
      <c r="D126" s="31" t="s">
        <v>59</v>
      </c>
      <c r="E126" s="31" t="s">
        <v>40</v>
      </c>
      <c r="F126" s="31" t="s">
        <v>33</v>
      </c>
      <c r="G126" s="30">
        <v>700.06</v>
      </c>
      <c r="H126" s="33" t="s">
        <v>53</v>
      </c>
      <c r="J126" s="53"/>
      <c r="K126" s="54"/>
    </row>
    <row r="127" spans="1:11" ht="17.399999999999999" customHeight="1" x14ac:dyDescent="0.3">
      <c r="A127" s="5">
        <v>2</v>
      </c>
      <c r="B127" s="50">
        <v>45169</v>
      </c>
      <c r="C127" s="31" t="s">
        <v>50</v>
      </c>
      <c r="D127" s="31" t="s">
        <v>62</v>
      </c>
      <c r="E127" s="31" t="s">
        <v>40</v>
      </c>
      <c r="F127" s="31" t="s">
        <v>11</v>
      </c>
      <c r="G127" s="52">
        <v>2956.44</v>
      </c>
      <c r="H127" s="33" t="s">
        <v>53</v>
      </c>
      <c r="J127" s="53"/>
      <c r="K127" s="9"/>
    </row>
    <row r="128" spans="1:11" ht="17.399999999999999" customHeight="1" x14ac:dyDescent="0.3">
      <c r="A128" s="5">
        <v>2</v>
      </c>
      <c r="B128" s="50">
        <v>45199</v>
      </c>
      <c r="C128" s="31" t="s">
        <v>50</v>
      </c>
      <c r="D128" s="31" t="s">
        <v>59</v>
      </c>
      <c r="E128" s="31" t="s">
        <v>40</v>
      </c>
      <c r="F128" s="31" t="s">
        <v>33</v>
      </c>
      <c r="G128" s="30">
        <v>147.12</v>
      </c>
      <c r="H128" s="33" t="s">
        <v>53</v>
      </c>
      <c r="J128" s="53"/>
      <c r="K128" s="54"/>
    </row>
    <row r="129" spans="1:11" ht="17.399999999999999" customHeight="1" x14ac:dyDescent="0.3">
      <c r="A129" s="5">
        <v>2</v>
      </c>
      <c r="B129" s="35">
        <v>45201</v>
      </c>
      <c r="C129" s="31" t="s">
        <v>50</v>
      </c>
      <c r="D129" s="31" t="s">
        <v>59</v>
      </c>
      <c r="E129" s="31" t="s">
        <v>40</v>
      </c>
      <c r="F129" s="31" t="s">
        <v>33</v>
      </c>
      <c r="G129" s="30">
        <v>700</v>
      </c>
      <c r="H129" s="33" t="s">
        <v>53</v>
      </c>
      <c r="J129" s="53"/>
      <c r="K129" s="54"/>
    </row>
    <row r="130" spans="1:11" ht="17.399999999999999" customHeight="1" x14ac:dyDescent="0.3">
      <c r="A130" s="5">
        <v>2</v>
      </c>
      <c r="B130" s="35">
        <v>45230</v>
      </c>
      <c r="C130" s="31" t="s">
        <v>50</v>
      </c>
      <c r="D130" s="31" t="s">
        <v>59</v>
      </c>
      <c r="E130" s="31" t="s">
        <v>40</v>
      </c>
      <c r="F130" s="31" t="s">
        <v>33</v>
      </c>
      <c r="G130" s="30">
        <v>450</v>
      </c>
      <c r="H130" s="33" t="s">
        <v>53</v>
      </c>
      <c r="J130" s="53"/>
      <c r="K130" s="54"/>
    </row>
    <row r="131" spans="1:11" ht="17.399999999999999" customHeight="1" x14ac:dyDescent="0.3">
      <c r="A131" s="5">
        <v>2</v>
      </c>
      <c r="B131" s="35">
        <v>45260</v>
      </c>
      <c r="C131" s="31" t="s">
        <v>50</v>
      </c>
      <c r="D131" s="31" t="s">
        <v>59</v>
      </c>
      <c r="E131" s="31" t="s">
        <v>40</v>
      </c>
      <c r="F131" s="31" t="s">
        <v>33</v>
      </c>
      <c r="G131" s="30">
        <v>250</v>
      </c>
      <c r="H131" s="33" t="s">
        <v>53</v>
      </c>
      <c r="J131" s="53"/>
      <c r="K131" s="54"/>
    </row>
    <row r="132" spans="1:11" ht="17.399999999999999" customHeight="1" x14ac:dyDescent="0.3">
      <c r="A132" s="5">
        <v>2</v>
      </c>
      <c r="B132" s="50">
        <v>45350</v>
      </c>
      <c r="C132" s="31" t="s">
        <v>50</v>
      </c>
      <c r="D132" s="31" t="s">
        <v>62</v>
      </c>
      <c r="E132" s="31" t="s">
        <v>40</v>
      </c>
      <c r="F132" s="31" t="s">
        <v>11</v>
      </c>
      <c r="G132" s="52">
        <v>300</v>
      </c>
      <c r="H132" s="33" t="s">
        <v>53</v>
      </c>
      <c r="J132" s="54"/>
      <c r="K132" s="54"/>
    </row>
    <row r="133" spans="1:11" ht="17.399999999999999" customHeight="1" x14ac:dyDescent="0.3">
      <c r="A133" s="5">
        <v>2</v>
      </c>
      <c r="B133" s="50">
        <v>45382</v>
      </c>
      <c r="C133" s="31" t="s">
        <v>50</v>
      </c>
      <c r="D133" s="31" t="s">
        <v>62</v>
      </c>
      <c r="E133" s="31" t="s">
        <v>40</v>
      </c>
      <c r="F133" s="31" t="s">
        <v>11</v>
      </c>
      <c r="G133" s="52">
        <v>962.5</v>
      </c>
      <c r="H133" s="33" t="s">
        <v>53</v>
      </c>
    </row>
    <row r="134" spans="1:11" ht="17.399999999999999" customHeight="1" x14ac:dyDescent="0.3">
      <c r="A134" s="5">
        <v>2</v>
      </c>
      <c r="B134" s="50">
        <v>45443</v>
      </c>
      <c r="C134" s="31" t="s">
        <v>50</v>
      </c>
      <c r="D134" s="31" t="s">
        <v>67</v>
      </c>
      <c r="E134" s="31" t="s">
        <v>40</v>
      </c>
      <c r="F134" s="31" t="s">
        <v>11</v>
      </c>
      <c r="G134" s="52">
        <v>1778.81</v>
      </c>
      <c r="H134" s="33" t="s">
        <v>53</v>
      </c>
      <c r="J134" s="53"/>
    </row>
    <row r="135" spans="1:11" ht="17.399999999999999" customHeight="1" x14ac:dyDescent="0.3">
      <c r="A135" s="5">
        <v>2</v>
      </c>
      <c r="B135" s="50">
        <v>45504</v>
      </c>
      <c r="C135" s="31" t="s">
        <v>50</v>
      </c>
      <c r="D135" s="31" t="s">
        <v>67</v>
      </c>
      <c r="E135" s="31" t="s">
        <v>40</v>
      </c>
      <c r="F135" s="31" t="s">
        <v>11</v>
      </c>
      <c r="G135" s="52">
        <v>2000</v>
      </c>
      <c r="H135" s="33" t="s">
        <v>53</v>
      </c>
      <c r="J135" s="53"/>
    </row>
    <row r="136" spans="1:11" ht="17.399999999999999" customHeight="1" x14ac:dyDescent="0.3">
      <c r="A136" s="5">
        <v>2</v>
      </c>
      <c r="B136" s="50">
        <v>45535</v>
      </c>
      <c r="C136" s="31" t="s">
        <v>50</v>
      </c>
      <c r="D136" s="31" t="s">
        <v>67</v>
      </c>
      <c r="E136" s="31" t="s">
        <v>40</v>
      </c>
      <c r="F136" s="31" t="s">
        <v>11</v>
      </c>
      <c r="G136" s="52">
        <v>1693.75</v>
      </c>
      <c r="H136" s="33" t="s">
        <v>53</v>
      </c>
      <c r="J136" s="53"/>
    </row>
    <row r="137" spans="1:11" ht="17.399999999999999" customHeight="1" x14ac:dyDescent="0.3">
      <c r="A137" s="5">
        <v>2</v>
      </c>
      <c r="B137" s="35">
        <v>45596</v>
      </c>
      <c r="C137" s="31" t="s">
        <v>50</v>
      </c>
      <c r="D137" s="31" t="s">
        <v>59</v>
      </c>
      <c r="E137" s="31" t="s">
        <v>40</v>
      </c>
      <c r="F137" s="31" t="s">
        <v>33</v>
      </c>
      <c r="G137" s="30">
        <v>1078</v>
      </c>
      <c r="H137" s="33" t="s">
        <v>53</v>
      </c>
      <c r="J137" s="53"/>
    </row>
    <row r="138" spans="1:11" ht="17.399999999999999" customHeight="1" x14ac:dyDescent="0.3">
      <c r="A138" s="5">
        <v>2</v>
      </c>
      <c r="B138" s="35">
        <v>45626</v>
      </c>
      <c r="C138" s="31" t="s">
        <v>50</v>
      </c>
      <c r="D138" s="31" t="s">
        <v>59</v>
      </c>
      <c r="E138" s="31" t="s">
        <v>40</v>
      </c>
      <c r="F138" s="31" t="s">
        <v>33</v>
      </c>
      <c r="G138" s="30">
        <v>2817.28</v>
      </c>
      <c r="H138" s="33" t="s">
        <v>53</v>
      </c>
      <c r="J138" s="53"/>
    </row>
    <row r="139" spans="1:11" ht="17.399999999999999" customHeight="1" x14ac:dyDescent="0.3">
      <c r="A139" s="5">
        <v>2</v>
      </c>
      <c r="B139" s="35">
        <v>45657</v>
      </c>
      <c r="C139" s="31" t="s">
        <v>50</v>
      </c>
      <c r="D139" s="31" t="s">
        <v>59</v>
      </c>
      <c r="E139" s="31" t="s">
        <v>40</v>
      </c>
      <c r="F139" s="31" t="s">
        <v>33</v>
      </c>
      <c r="G139" s="52">
        <v>5110.7</v>
      </c>
      <c r="H139" s="33" t="s">
        <v>53</v>
      </c>
      <c r="J139" s="53"/>
    </row>
    <row r="140" spans="1:11" ht="17.399999999999999" customHeight="1" x14ac:dyDescent="0.3">
      <c r="A140" s="5">
        <v>2</v>
      </c>
      <c r="B140" s="50">
        <v>45688</v>
      </c>
      <c r="C140" s="31" t="s">
        <v>50</v>
      </c>
      <c r="D140" s="31" t="s">
        <v>59</v>
      </c>
      <c r="E140" s="31" t="s">
        <v>40</v>
      </c>
      <c r="F140" s="31" t="s">
        <v>33</v>
      </c>
      <c r="G140" s="30">
        <v>3897.39</v>
      </c>
      <c r="H140" s="33" t="s">
        <v>53</v>
      </c>
      <c r="J140" s="53"/>
    </row>
    <row r="141" spans="1:11" ht="17.399999999999999" customHeight="1" x14ac:dyDescent="0.3">
      <c r="A141" s="5">
        <v>2</v>
      </c>
      <c r="B141" s="50">
        <v>45716</v>
      </c>
      <c r="C141" s="31" t="s">
        <v>50</v>
      </c>
      <c r="D141" s="31" t="s">
        <v>59</v>
      </c>
      <c r="E141" s="31" t="s">
        <v>40</v>
      </c>
      <c r="F141" s="31" t="s">
        <v>33</v>
      </c>
      <c r="G141" s="30">
        <v>3200</v>
      </c>
      <c r="H141" s="33" t="s">
        <v>53</v>
      </c>
      <c r="J141" s="53"/>
    </row>
    <row r="142" spans="1:11" ht="17.399999999999999" customHeight="1" x14ac:dyDescent="0.3">
      <c r="A142" s="5">
        <v>2</v>
      </c>
      <c r="B142" s="50">
        <v>45747</v>
      </c>
      <c r="C142" s="31" t="s">
        <v>50</v>
      </c>
      <c r="D142" s="31" t="s">
        <v>59</v>
      </c>
      <c r="E142" s="31" t="s">
        <v>40</v>
      </c>
      <c r="F142" s="31" t="s">
        <v>33</v>
      </c>
      <c r="G142" s="30">
        <f>5422.3+(4741.6-4241.6)</f>
        <v>5922.3</v>
      </c>
      <c r="H142" s="33" t="s">
        <v>53</v>
      </c>
      <c r="J142" s="53"/>
    </row>
    <row r="143" spans="1:11" ht="17.399999999999999" customHeight="1" x14ac:dyDescent="0.3">
      <c r="A143" s="5">
        <v>2</v>
      </c>
      <c r="B143" s="50">
        <v>45777</v>
      </c>
      <c r="C143" s="31" t="s">
        <v>50</v>
      </c>
      <c r="D143" s="31" t="s">
        <v>59</v>
      </c>
      <c r="E143" s="31" t="s">
        <v>40</v>
      </c>
      <c r="F143" s="31" t="s">
        <v>33</v>
      </c>
      <c r="G143" s="30">
        <f>5322+1700</f>
        <v>7022</v>
      </c>
      <c r="H143" s="33" t="s">
        <v>53</v>
      </c>
      <c r="J143" s="53"/>
    </row>
    <row r="144" spans="1:11" ht="17.399999999999999" customHeight="1" x14ac:dyDescent="0.3">
      <c r="A144" s="5">
        <v>2</v>
      </c>
      <c r="B144" s="50">
        <v>45808</v>
      </c>
      <c r="C144" s="31" t="s">
        <v>50</v>
      </c>
      <c r="D144" s="31" t="s">
        <v>59</v>
      </c>
      <c r="E144" s="31" t="s">
        <v>40</v>
      </c>
      <c r="F144" s="31" t="s">
        <v>33</v>
      </c>
      <c r="G144" s="30">
        <v>6456.3</v>
      </c>
      <c r="H144" s="33" t="s">
        <v>53</v>
      </c>
    </row>
    <row r="145" spans="1:8" ht="17.399999999999999" customHeight="1" x14ac:dyDescent="0.3">
      <c r="A145" s="5">
        <v>2</v>
      </c>
      <c r="B145" s="50">
        <v>45838</v>
      </c>
      <c r="C145" s="31" t="s">
        <v>50</v>
      </c>
      <c r="D145" s="31" t="s">
        <v>59</v>
      </c>
      <c r="E145" s="31" t="s">
        <v>40</v>
      </c>
      <c r="F145" s="31" t="s">
        <v>33</v>
      </c>
      <c r="G145" s="30">
        <v>6952.22</v>
      </c>
      <c r="H145" s="33" t="s">
        <v>53</v>
      </c>
    </row>
    <row r="146" spans="1:8" ht="17.399999999999999" customHeight="1" x14ac:dyDescent="0.3">
      <c r="A146" s="5">
        <v>2</v>
      </c>
      <c r="B146" s="50">
        <v>45869</v>
      </c>
      <c r="C146" s="31" t="s">
        <v>50</v>
      </c>
      <c r="D146" s="31" t="s">
        <v>68</v>
      </c>
      <c r="E146" s="31" t="s">
        <v>40</v>
      </c>
      <c r="F146" s="31" t="s">
        <v>11</v>
      </c>
      <c r="G146" s="52">
        <v>3771.9</v>
      </c>
      <c r="H146" s="33" t="s">
        <v>53</v>
      </c>
    </row>
    <row r="147" spans="1:8" ht="17.399999999999999" customHeight="1" x14ac:dyDescent="0.3">
      <c r="A147" s="5">
        <v>2</v>
      </c>
      <c r="B147" s="50">
        <v>45869</v>
      </c>
      <c r="C147" s="31" t="s">
        <v>50</v>
      </c>
      <c r="D147" s="31" t="s">
        <v>59</v>
      </c>
      <c r="E147" s="31" t="s">
        <v>40</v>
      </c>
      <c r="F147" s="31" t="s">
        <v>33</v>
      </c>
      <c r="G147" s="30">
        <v>6500</v>
      </c>
      <c r="H147" s="33" t="s">
        <v>53</v>
      </c>
    </row>
    <row r="148" spans="1:8" ht="17.399999999999999" customHeight="1" x14ac:dyDescent="0.3">
      <c r="A148" s="5">
        <v>2</v>
      </c>
      <c r="B148" s="50">
        <v>45882</v>
      </c>
      <c r="C148" s="31" t="s">
        <v>50</v>
      </c>
      <c r="D148" s="31" t="s">
        <v>59</v>
      </c>
      <c r="E148" s="31" t="s">
        <v>40</v>
      </c>
      <c r="F148" s="31" t="s">
        <v>33</v>
      </c>
      <c r="G148" s="52">
        <v>4000</v>
      </c>
      <c r="H148" s="33" t="s">
        <v>53</v>
      </c>
    </row>
    <row r="149" spans="1:8" ht="17.399999999999999" customHeight="1" x14ac:dyDescent="0.3">
      <c r="A149" s="5">
        <v>2</v>
      </c>
      <c r="B149" s="50">
        <v>44865</v>
      </c>
      <c r="C149" s="31" t="s">
        <v>50</v>
      </c>
      <c r="D149" s="32" t="s">
        <v>63</v>
      </c>
      <c r="E149" s="31" t="s">
        <v>38</v>
      </c>
      <c r="F149" s="31" t="s">
        <v>33</v>
      </c>
      <c r="G149" s="30">
        <v>400</v>
      </c>
      <c r="H149" s="32" t="s">
        <v>53</v>
      </c>
    </row>
    <row r="150" spans="1:8" ht="17.399999999999999" customHeight="1" x14ac:dyDescent="0.3">
      <c r="A150" s="5">
        <v>2</v>
      </c>
      <c r="B150" s="50">
        <v>44895</v>
      </c>
      <c r="C150" s="31" t="s">
        <v>50</v>
      </c>
      <c r="D150" s="32" t="s">
        <v>63</v>
      </c>
      <c r="E150" s="31" t="s">
        <v>38</v>
      </c>
      <c r="F150" s="31" t="s">
        <v>33</v>
      </c>
      <c r="G150" s="30">
        <v>400</v>
      </c>
      <c r="H150" s="32" t="s">
        <v>53</v>
      </c>
    </row>
    <row r="151" spans="1:8" ht="17.399999999999999" customHeight="1" x14ac:dyDescent="0.3">
      <c r="A151" s="5">
        <v>2</v>
      </c>
      <c r="B151" s="50">
        <v>44926</v>
      </c>
      <c r="C151" s="31" t="s">
        <v>50</v>
      </c>
      <c r="D151" s="32" t="s">
        <v>63</v>
      </c>
      <c r="E151" s="31" t="s">
        <v>38</v>
      </c>
      <c r="F151" s="31" t="s">
        <v>33</v>
      </c>
      <c r="G151" s="30">
        <v>301.3</v>
      </c>
      <c r="H151" s="32" t="s">
        <v>53</v>
      </c>
    </row>
    <row r="152" spans="1:8" ht="17.399999999999999" customHeight="1" x14ac:dyDescent="0.3">
      <c r="A152" s="5">
        <v>2</v>
      </c>
      <c r="B152" s="50">
        <v>44957</v>
      </c>
      <c r="C152" s="31" t="s">
        <v>50</v>
      </c>
      <c r="D152" s="31" t="s">
        <v>63</v>
      </c>
      <c r="E152" s="31" t="s">
        <v>38</v>
      </c>
      <c r="F152" s="31" t="s">
        <v>33</v>
      </c>
      <c r="G152" s="30">
        <v>400</v>
      </c>
      <c r="H152" s="33" t="s">
        <v>53</v>
      </c>
    </row>
    <row r="153" spans="1:8" ht="17.399999999999999" customHeight="1" x14ac:dyDescent="0.3">
      <c r="A153" s="5">
        <v>2</v>
      </c>
      <c r="B153" s="50">
        <v>44984</v>
      </c>
      <c r="C153" s="31" t="s">
        <v>50</v>
      </c>
      <c r="D153" s="31" t="s">
        <v>63</v>
      </c>
      <c r="E153" s="31" t="s">
        <v>38</v>
      </c>
      <c r="F153" s="31" t="s">
        <v>33</v>
      </c>
      <c r="G153" s="30">
        <v>400</v>
      </c>
      <c r="H153" s="33" t="s">
        <v>53</v>
      </c>
    </row>
    <row r="154" spans="1:8" ht="17.399999999999999" customHeight="1" x14ac:dyDescent="0.3">
      <c r="A154" s="5">
        <v>2</v>
      </c>
      <c r="B154" s="50">
        <v>45016</v>
      </c>
      <c r="C154" s="31" t="s">
        <v>50</v>
      </c>
      <c r="D154" s="31" t="s">
        <v>63</v>
      </c>
      <c r="E154" s="31" t="s">
        <v>38</v>
      </c>
      <c r="F154" s="31" t="s">
        <v>33</v>
      </c>
      <c r="G154" s="30">
        <v>400</v>
      </c>
      <c r="H154" s="33" t="s">
        <v>53</v>
      </c>
    </row>
    <row r="155" spans="1:8" ht="17.399999999999999" customHeight="1" x14ac:dyDescent="0.3">
      <c r="A155" s="5">
        <v>2</v>
      </c>
      <c r="B155" s="35">
        <v>45046</v>
      </c>
      <c r="C155" s="31" t="s">
        <v>50</v>
      </c>
      <c r="D155" s="31" t="s">
        <v>63</v>
      </c>
      <c r="E155" s="31" t="s">
        <v>38</v>
      </c>
      <c r="F155" s="31" t="s">
        <v>33</v>
      </c>
      <c r="G155" s="52">
        <v>700</v>
      </c>
      <c r="H155" s="33" t="s">
        <v>53</v>
      </c>
    </row>
    <row r="156" spans="1:8" ht="17.399999999999999" customHeight="1" x14ac:dyDescent="0.3">
      <c r="A156" s="5">
        <v>2</v>
      </c>
      <c r="B156" s="50">
        <v>45077</v>
      </c>
      <c r="C156" s="31" t="s">
        <v>50</v>
      </c>
      <c r="D156" s="31" t="s">
        <v>63</v>
      </c>
      <c r="E156" s="31" t="s">
        <v>38</v>
      </c>
      <c r="F156" s="31" t="s">
        <v>33</v>
      </c>
      <c r="G156" s="52">
        <v>700</v>
      </c>
      <c r="H156" s="33" t="s">
        <v>53</v>
      </c>
    </row>
    <row r="157" spans="1:8" ht="17.399999999999999" customHeight="1" x14ac:dyDescent="0.3">
      <c r="A157" s="5">
        <v>2</v>
      </c>
      <c r="B157" s="50">
        <v>45107</v>
      </c>
      <c r="C157" s="31" t="s">
        <v>50</v>
      </c>
      <c r="D157" s="31" t="s">
        <v>63</v>
      </c>
      <c r="E157" s="31" t="s">
        <v>38</v>
      </c>
      <c r="F157" s="31" t="s">
        <v>33</v>
      </c>
      <c r="G157" s="52">
        <v>700</v>
      </c>
      <c r="H157" s="33" t="s">
        <v>53</v>
      </c>
    </row>
    <row r="158" spans="1:8" ht="17.399999999999999" customHeight="1" x14ac:dyDescent="0.3">
      <c r="A158" s="5">
        <v>2</v>
      </c>
      <c r="B158" s="50">
        <v>45138</v>
      </c>
      <c r="C158" s="31" t="s">
        <v>50</v>
      </c>
      <c r="D158" s="31" t="s">
        <v>63</v>
      </c>
      <c r="E158" s="31" t="s">
        <v>38</v>
      </c>
      <c r="F158" s="31" t="s">
        <v>33</v>
      </c>
      <c r="G158" s="52">
        <v>700</v>
      </c>
      <c r="H158" s="33" t="s">
        <v>53</v>
      </c>
    </row>
    <row r="159" spans="1:8" ht="17.399999999999999" customHeight="1" x14ac:dyDescent="0.3">
      <c r="A159" s="5">
        <v>2</v>
      </c>
      <c r="B159" s="50">
        <v>45169</v>
      </c>
      <c r="C159" s="31" t="s">
        <v>50</v>
      </c>
      <c r="D159" s="31" t="s">
        <v>63</v>
      </c>
      <c r="E159" s="31" t="s">
        <v>38</v>
      </c>
      <c r="F159" s="31" t="s">
        <v>33</v>
      </c>
      <c r="G159" s="52">
        <v>700</v>
      </c>
      <c r="H159" s="33" t="s">
        <v>53</v>
      </c>
    </row>
    <row r="160" spans="1:8" ht="17.399999999999999" customHeight="1" x14ac:dyDescent="0.3">
      <c r="A160" s="5">
        <v>2</v>
      </c>
      <c r="B160" s="50">
        <v>45199</v>
      </c>
      <c r="C160" s="31" t="s">
        <v>50</v>
      </c>
      <c r="D160" s="31" t="s">
        <v>63</v>
      </c>
      <c r="E160" s="31" t="s">
        <v>38</v>
      </c>
      <c r="F160" s="31" t="s">
        <v>33</v>
      </c>
      <c r="G160" s="52">
        <v>700</v>
      </c>
      <c r="H160" s="33" t="s">
        <v>53</v>
      </c>
    </row>
    <row r="161" spans="1:8" ht="17.399999999999999" customHeight="1" x14ac:dyDescent="0.3">
      <c r="A161" s="5">
        <v>2</v>
      </c>
      <c r="B161" s="50">
        <v>45230</v>
      </c>
      <c r="C161" s="31" t="s">
        <v>50</v>
      </c>
      <c r="D161" s="31" t="s">
        <v>63</v>
      </c>
      <c r="E161" s="31" t="s">
        <v>38</v>
      </c>
      <c r="F161" s="31" t="s">
        <v>33</v>
      </c>
      <c r="G161" s="52">
        <v>1200</v>
      </c>
      <c r="H161" s="33" t="s">
        <v>53</v>
      </c>
    </row>
    <row r="162" spans="1:8" ht="17.399999999999999" customHeight="1" x14ac:dyDescent="0.3">
      <c r="A162" s="5">
        <v>2</v>
      </c>
      <c r="B162" s="50">
        <v>45260</v>
      </c>
      <c r="C162" s="31" t="s">
        <v>50</v>
      </c>
      <c r="D162" s="31" t="s">
        <v>63</v>
      </c>
      <c r="E162" s="31" t="s">
        <v>38</v>
      </c>
      <c r="F162" s="31" t="s">
        <v>33</v>
      </c>
      <c r="G162" s="52">
        <v>1200</v>
      </c>
      <c r="H162" s="33" t="s">
        <v>53</v>
      </c>
    </row>
    <row r="163" spans="1:8" ht="17.399999999999999" customHeight="1" x14ac:dyDescent="0.3">
      <c r="A163" s="5">
        <v>2</v>
      </c>
      <c r="B163" s="50">
        <v>45291</v>
      </c>
      <c r="C163" s="31" t="s">
        <v>50</v>
      </c>
      <c r="D163" s="31" t="s">
        <v>63</v>
      </c>
      <c r="E163" s="31" t="s">
        <v>38</v>
      </c>
      <c r="F163" s="31" t="s">
        <v>33</v>
      </c>
      <c r="G163" s="52">
        <v>1200</v>
      </c>
      <c r="H163" s="33" t="s">
        <v>53</v>
      </c>
    </row>
    <row r="164" spans="1:8" ht="17.399999999999999" customHeight="1" x14ac:dyDescent="0.3">
      <c r="A164" s="5">
        <v>2</v>
      </c>
      <c r="B164" s="50">
        <v>45322</v>
      </c>
      <c r="C164" s="31" t="s">
        <v>50</v>
      </c>
      <c r="D164" s="31" t="s">
        <v>63</v>
      </c>
      <c r="E164" s="31" t="s">
        <v>38</v>
      </c>
      <c r="F164" s="31" t="s">
        <v>33</v>
      </c>
      <c r="G164" s="52">
        <v>1980</v>
      </c>
      <c r="H164" s="33" t="s">
        <v>53</v>
      </c>
    </row>
    <row r="165" spans="1:8" ht="17.399999999999999" customHeight="1" x14ac:dyDescent="0.3">
      <c r="A165" s="5">
        <v>2</v>
      </c>
      <c r="B165" s="50">
        <v>45350</v>
      </c>
      <c r="C165" s="31" t="s">
        <v>50</v>
      </c>
      <c r="D165" s="31" t="s">
        <v>63</v>
      </c>
      <c r="E165" s="31" t="s">
        <v>38</v>
      </c>
      <c r="F165" s="31" t="s">
        <v>33</v>
      </c>
      <c r="G165" s="52">
        <v>1980</v>
      </c>
      <c r="H165" s="33" t="s">
        <v>53</v>
      </c>
    </row>
    <row r="166" spans="1:8" ht="17.399999999999999" customHeight="1" x14ac:dyDescent="0.3">
      <c r="A166" s="5">
        <v>2</v>
      </c>
      <c r="B166" s="50">
        <v>45382</v>
      </c>
      <c r="C166" s="31" t="s">
        <v>50</v>
      </c>
      <c r="D166" s="31" t="s">
        <v>63</v>
      </c>
      <c r="E166" s="31" t="s">
        <v>38</v>
      </c>
      <c r="F166" s="31" t="s">
        <v>33</v>
      </c>
      <c r="G166" s="52">
        <v>1980</v>
      </c>
      <c r="H166" s="33" t="s">
        <v>53</v>
      </c>
    </row>
    <row r="167" spans="1:8" ht="17.399999999999999" customHeight="1" x14ac:dyDescent="0.3">
      <c r="A167" s="5">
        <v>2</v>
      </c>
      <c r="B167" s="35">
        <v>45443</v>
      </c>
      <c r="C167" s="31" t="s">
        <v>50</v>
      </c>
      <c r="D167" s="31" t="s">
        <v>63</v>
      </c>
      <c r="E167" s="31" t="s">
        <v>38</v>
      </c>
      <c r="F167" s="31" t="s">
        <v>33</v>
      </c>
      <c r="G167" s="52">
        <v>1980</v>
      </c>
      <c r="H167" s="33" t="s">
        <v>53</v>
      </c>
    </row>
    <row r="168" spans="1:8" ht="17.399999999999999" customHeight="1" x14ac:dyDescent="0.3">
      <c r="A168" s="5">
        <v>2</v>
      </c>
      <c r="B168" s="35">
        <v>45473</v>
      </c>
      <c r="C168" s="31" t="s">
        <v>50</v>
      </c>
      <c r="D168" s="31" t="s">
        <v>63</v>
      </c>
      <c r="E168" s="31" t="s">
        <v>38</v>
      </c>
      <c r="F168" s="31" t="s">
        <v>33</v>
      </c>
      <c r="G168" s="52">
        <v>1980</v>
      </c>
      <c r="H168" s="33" t="s">
        <v>53</v>
      </c>
    </row>
    <row r="169" spans="1:8" ht="17.399999999999999" customHeight="1" x14ac:dyDescent="0.3">
      <c r="A169" s="5">
        <v>2</v>
      </c>
      <c r="B169" s="50">
        <v>45504</v>
      </c>
      <c r="C169" s="31" t="s">
        <v>50</v>
      </c>
      <c r="D169" s="31" t="s">
        <v>63</v>
      </c>
      <c r="E169" s="31" t="s">
        <v>38</v>
      </c>
      <c r="F169" s="31" t="s">
        <v>33</v>
      </c>
      <c r="G169" s="52">
        <v>1980</v>
      </c>
      <c r="H169" s="33" t="s">
        <v>53</v>
      </c>
    </row>
    <row r="170" spans="1:8" ht="17.399999999999999" customHeight="1" x14ac:dyDescent="0.3">
      <c r="A170" s="5">
        <v>2</v>
      </c>
      <c r="B170" s="50">
        <v>45535</v>
      </c>
      <c r="C170" s="31" t="s">
        <v>50</v>
      </c>
      <c r="D170" s="31" t="s">
        <v>63</v>
      </c>
      <c r="E170" s="31" t="s">
        <v>38</v>
      </c>
      <c r="F170" s="31" t="s">
        <v>33</v>
      </c>
      <c r="G170" s="52">
        <v>1200</v>
      </c>
      <c r="H170" s="33" t="s">
        <v>53</v>
      </c>
    </row>
    <row r="171" spans="1:8" ht="17.399999999999999" customHeight="1" x14ac:dyDescent="0.3">
      <c r="A171" s="5">
        <v>2</v>
      </c>
      <c r="B171" s="35">
        <v>45565</v>
      </c>
      <c r="C171" s="31" t="s">
        <v>50</v>
      </c>
      <c r="D171" s="31" t="s">
        <v>63</v>
      </c>
      <c r="E171" s="31" t="s">
        <v>38</v>
      </c>
      <c r="F171" s="31" t="s">
        <v>33</v>
      </c>
      <c r="G171" s="52">
        <v>1200</v>
      </c>
      <c r="H171" s="33" t="s">
        <v>53</v>
      </c>
    </row>
    <row r="172" spans="1:8" ht="17.399999999999999" customHeight="1" x14ac:dyDescent="0.3">
      <c r="A172" s="5">
        <v>2</v>
      </c>
      <c r="B172" s="35">
        <v>45596</v>
      </c>
      <c r="C172" s="31" t="s">
        <v>50</v>
      </c>
      <c r="D172" s="31" t="s">
        <v>63</v>
      </c>
      <c r="E172" s="31" t="s">
        <v>38</v>
      </c>
      <c r="F172" s="31" t="s">
        <v>33</v>
      </c>
      <c r="G172" s="52">
        <v>1200</v>
      </c>
      <c r="H172" s="33" t="s">
        <v>53</v>
      </c>
    </row>
    <row r="173" spans="1:8" ht="17.399999999999999" customHeight="1" x14ac:dyDescent="0.3">
      <c r="A173" s="5">
        <v>2</v>
      </c>
      <c r="B173" s="35">
        <v>45626</v>
      </c>
      <c r="C173" s="31" t="s">
        <v>50</v>
      </c>
      <c r="D173" s="31" t="s">
        <v>63</v>
      </c>
      <c r="E173" s="31" t="s">
        <v>38</v>
      </c>
      <c r="F173" s="31" t="s">
        <v>33</v>
      </c>
      <c r="G173" s="52">
        <v>1200</v>
      </c>
      <c r="H173" s="33" t="s">
        <v>53</v>
      </c>
    </row>
    <row r="174" spans="1:8" ht="17.399999999999999" customHeight="1" x14ac:dyDescent="0.3">
      <c r="A174" s="5">
        <v>2</v>
      </c>
      <c r="B174" s="35">
        <v>45657</v>
      </c>
      <c r="C174" s="31" t="s">
        <v>50</v>
      </c>
      <c r="D174" s="31" t="s">
        <v>63</v>
      </c>
      <c r="E174" s="31" t="s">
        <v>38</v>
      </c>
      <c r="F174" s="31" t="s">
        <v>33</v>
      </c>
      <c r="G174" s="52">
        <v>1200</v>
      </c>
      <c r="H174" s="33" t="s">
        <v>53</v>
      </c>
    </row>
    <row r="175" spans="1:8" ht="17.399999999999999" customHeight="1" x14ac:dyDescent="0.3">
      <c r="A175" s="5">
        <v>2</v>
      </c>
      <c r="B175" s="50">
        <v>45688</v>
      </c>
      <c r="C175" s="31" t="s">
        <v>50</v>
      </c>
      <c r="D175" s="31" t="s">
        <v>63</v>
      </c>
      <c r="E175" s="31" t="s">
        <v>38</v>
      </c>
      <c r="F175" s="31" t="s">
        <v>33</v>
      </c>
      <c r="G175" s="52">
        <v>1200</v>
      </c>
      <c r="H175" s="33" t="s">
        <v>53</v>
      </c>
    </row>
    <row r="176" spans="1:8" ht="17.399999999999999" customHeight="1" x14ac:dyDescent="0.3">
      <c r="A176" s="5">
        <v>2</v>
      </c>
      <c r="B176" s="50">
        <v>45716</v>
      </c>
      <c r="C176" s="31" t="s">
        <v>50</v>
      </c>
      <c r="D176" s="31" t="s">
        <v>63</v>
      </c>
      <c r="E176" s="31" t="s">
        <v>38</v>
      </c>
      <c r="F176" s="31" t="s">
        <v>33</v>
      </c>
      <c r="G176" s="52">
        <v>1200</v>
      </c>
      <c r="H176" s="33" t="s">
        <v>53</v>
      </c>
    </row>
    <row r="177" spans="1:8" ht="17.399999999999999" customHeight="1" x14ac:dyDescent="0.3">
      <c r="A177" s="5">
        <v>2</v>
      </c>
      <c r="B177" s="50">
        <v>45777</v>
      </c>
      <c r="C177" s="31" t="s">
        <v>50</v>
      </c>
      <c r="D177" s="31" t="s">
        <v>63</v>
      </c>
      <c r="E177" s="31" t="s">
        <v>38</v>
      </c>
      <c r="F177" s="31" t="s">
        <v>33</v>
      </c>
      <c r="G177" s="52">
        <v>1980</v>
      </c>
      <c r="H177" s="33" t="s">
        <v>53</v>
      </c>
    </row>
    <row r="178" spans="1:8" ht="17.399999999999999" customHeight="1" x14ac:dyDescent="0.3">
      <c r="A178" s="5">
        <v>2</v>
      </c>
      <c r="B178" s="50">
        <v>45322</v>
      </c>
      <c r="C178" s="31" t="s">
        <v>50</v>
      </c>
      <c r="D178" s="31" t="s">
        <v>66</v>
      </c>
      <c r="E178" s="31" t="s">
        <v>48</v>
      </c>
      <c r="F178" s="31" t="s">
        <v>11</v>
      </c>
      <c r="G178" s="52">
        <v>679.95</v>
      </c>
      <c r="H178" s="33" t="s">
        <v>53</v>
      </c>
    </row>
    <row r="179" spans="1:8" ht="17.399999999999999" hidden="1" customHeight="1" x14ac:dyDescent="0.3">
      <c r="A179" s="5">
        <v>2</v>
      </c>
      <c r="B179" s="6">
        <v>45930</v>
      </c>
      <c r="C179" s="7" t="s">
        <v>19</v>
      </c>
      <c r="D179" s="8" t="s">
        <v>39</v>
      </c>
      <c r="E179" s="7" t="s">
        <v>40</v>
      </c>
      <c r="F179" s="7" t="s">
        <v>11</v>
      </c>
      <c r="G179" s="62">
        <v>100</v>
      </c>
      <c r="H179" s="8" t="s">
        <v>12</v>
      </c>
    </row>
    <row r="180" spans="1:8" ht="17.399999999999999" hidden="1" customHeight="1" x14ac:dyDescent="0.3">
      <c r="A180" s="5">
        <v>2</v>
      </c>
      <c r="B180" s="6">
        <v>45900</v>
      </c>
      <c r="C180" s="7" t="s">
        <v>19</v>
      </c>
      <c r="D180" s="8" t="s">
        <v>26</v>
      </c>
      <c r="E180" s="7" t="s">
        <v>27</v>
      </c>
      <c r="F180" s="7" t="s">
        <v>11</v>
      </c>
      <c r="G180" s="63">
        <v>97.22</v>
      </c>
      <c r="H180" s="8" t="s">
        <v>12</v>
      </c>
    </row>
    <row r="181" spans="1:8" ht="17.399999999999999" hidden="1" customHeight="1" x14ac:dyDescent="0.3">
      <c r="A181" s="5">
        <v>2</v>
      </c>
      <c r="B181" s="6">
        <v>45900</v>
      </c>
      <c r="C181" s="7" t="s">
        <v>19</v>
      </c>
      <c r="D181" s="8" t="s">
        <v>28</v>
      </c>
      <c r="E181" s="7" t="s">
        <v>29</v>
      </c>
      <c r="F181" s="7" t="s">
        <v>11</v>
      </c>
      <c r="G181" s="63">
        <v>277</v>
      </c>
      <c r="H181" s="8" t="s">
        <v>12</v>
      </c>
    </row>
    <row r="182" spans="1:8" ht="17.399999999999999" hidden="1" customHeight="1" x14ac:dyDescent="0.3">
      <c r="A182" s="5">
        <v>2</v>
      </c>
      <c r="B182" s="6">
        <v>45900</v>
      </c>
      <c r="C182" s="7" t="s">
        <v>19</v>
      </c>
      <c r="D182" s="8" t="s">
        <v>30</v>
      </c>
      <c r="E182" s="7" t="s">
        <v>31</v>
      </c>
      <c r="F182" s="7" t="s">
        <v>11</v>
      </c>
      <c r="G182" s="63">
        <v>20</v>
      </c>
      <c r="H182" s="8" t="s">
        <v>12</v>
      </c>
    </row>
    <row r="183" spans="1:8" ht="17.399999999999999" hidden="1" customHeight="1" x14ac:dyDescent="0.3">
      <c r="A183" s="5">
        <v>2</v>
      </c>
      <c r="B183" s="6">
        <v>45900</v>
      </c>
      <c r="C183" s="7" t="s">
        <v>19</v>
      </c>
      <c r="D183" s="8" t="s">
        <v>35</v>
      </c>
      <c r="E183" s="7" t="s">
        <v>36</v>
      </c>
      <c r="F183" s="7" t="s">
        <v>11</v>
      </c>
      <c r="G183" s="63">
        <v>3.5</v>
      </c>
      <c r="H183" s="8" t="s">
        <v>12</v>
      </c>
    </row>
    <row r="184" spans="1:8" ht="17.399999999999999" hidden="1" customHeight="1" x14ac:dyDescent="0.3">
      <c r="A184" s="5">
        <v>2</v>
      </c>
      <c r="B184" s="6">
        <v>45900</v>
      </c>
      <c r="C184" s="7" t="s">
        <v>19</v>
      </c>
      <c r="D184" s="8" t="s">
        <v>39</v>
      </c>
      <c r="E184" s="7" t="s">
        <v>40</v>
      </c>
      <c r="F184" s="7" t="s">
        <v>11</v>
      </c>
      <c r="G184" s="63">
        <v>94</v>
      </c>
      <c r="H184" s="8" t="s">
        <v>12</v>
      </c>
    </row>
    <row r="185" spans="1:8" ht="17.399999999999999" hidden="1" customHeight="1" x14ac:dyDescent="0.3">
      <c r="A185" s="5">
        <v>2</v>
      </c>
      <c r="B185" s="6">
        <v>45900</v>
      </c>
      <c r="C185" s="7" t="s">
        <v>19</v>
      </c>
      <c r="D185" s="8" t="s">
        <v>41</v>
      </c>
      <c r="E185" s="7" t="s">
        <v>42</v>
      </c>
      <c r="F185" s="7" t="s">
        <v>11</v>
      </c>
      <c r="G185" s="63">
        <v>6.9</v>
      </c>
      <c r="H185" s="8" t="s">
        <v>12</v>
      </c>
    </row>
    <row r="186" spans="1:8" ht="17.399999999999999" hidden="1" customHeight="1" x14ac:dyDescent="0.3">
      <c r="A186" s="5">
        <v>2</v>
      </c>
      <c r="B186" s="14">
        <v>45900</v>
      </c>
      <c r="C186" s="15" t="s">
        <v>19</v>
      </c>
      <c r="D186" s="15" t="s">
        <v>37</v>
      </c>
      <c r="E186" s="15" t="s">
        <v>38</v>
      </c>
      <c r="F186" s="15" t="s">
        <v>33</v>
      </c>
      <c r="G186" s="65">
        <v>0</v>
      </c>
      <c r="H186" s="15" t="s">
        <v>12</v>
      </c>
    </row>
    <row r="187" spans="1:8" ht="17.399999999999999" hidden="1" customHeight="1" x14ac:dyDescent="0.3">
      <c r="A187" s="5">
        <v>2</v>
      </c>
      <c r="B187" s="6">
        <v>45900</v>
      </c>
      <c r="C187" s="7" t="s">
        <v>19</v>
      </c>
      <c r="D187" s="8" t="s">
        <v>44</v>
      </c>
      <c r="E187" s="7" t="s">
        <v>45</v>
      </c>
      <c r="F187" s="7" t="s">
        <v>11</v>
      </c>
      <c r="G187" s="63">
        <v>23.61</v>
      </c>
      <c r="H187" s="8" t="s">
        <v>12</v>
      </c>
    </row>
    <row r="188" spans="1:8" ht="17.399999999999999" hidden="1" customHeight="1" x14ac:dyDescent="0.3">
      <c r="A188" s="5">
        <v>2</v>
      </c>
      <c r="B188" s="6">
        <v>45900</v>
      </c>
      <c r="C188" s="7" t="s">
        <v>19</v>
      </c>
      <c r="D188" s="8" t="s">
        <v>47</v>
      </c>
      <c r="E188" s="7" t="s">
        <v>48</v>
      </c>
      <c r="F188" s="7" t="s">
        <v>11</v>
      </c>
      <c r="G188" s="63">
        <v>449.19</v>
      </c>
      <c r="H188" s="8" t="s">
        <v>12</v>
      </c>
    </row>
    <row r="189" spans="1:8" ht="17.399999999999999" hidden="1" customHeight="1" x14ac:dyDescent="0.3">
      <c r="A189" s="5">
        <v>2</v>
      </c>
      <c r="B189" s="6">
        <v>45900</v>
      </c>
      <c r="C189" s="7" t="s">
        <v>8</v>
      </c>
      <c r="D189" s="8" t="s">
        <v>34</v>
      </c>
      <c r="E189" s="7" t="s">
        <v>10</v>
      </c>
      <c r="F189" s="7" t="s">
        <v>33</v>
      </c>
      <c r="G189" s="62">
        <v>313</v>
      </c>
      <c r="H189" s="8" t="s">
        <v>12</v>
      </c>
    </row>
    <row r="190" spans="1:8" ht="17.399999999999999" hidden="1" customHeight="1" x14ac:dyDescent="0.3">
      <c r="A190" s="5">
        <v>2</v>
      </c>
      <c r="B190" s="6">
        <v>45875</v>
      </c>
      <c r="C190" s="7" t="s">
        <v>8</v>
      </c>
      <c r="D190" s="8" t="s">
        <v>25</v>
      </c>
      <c r="E190" s="7" t="s">
        <v>10</v>
      </c>
      <c r="F190" s="7" t="s">
        <v>11</v>
      </c>
      <c r="G190" s="62">
        <v>338.05</v>
      </c>
      <c r="H190" s="8" t="s">
        <v>12</v>
      </c>
    </row>
    <row r="191" spans="1:8" ht="17.399999999999999" hidden="1" customHeight="1" x14ac:dyDescent="0.3">
      <c r="A191" s="5">
        <v>2</v>
      </c>
      <c r="B191" s="6">
        <v>45869</v>
      </c>
      <c r="C191" s="7" t="s">
        <v>19</v>
      </c>
      <c r="D191" s="8" t="s">
        <v>20</v>
      </c>
      <c r="E191" s="7" t="s">
        <v>21</v>
      </c>
      <c r="F191" s="7" t="s">
        <v>11</v>
      </c>
      <c r="G191" s="63">
        <v>7.67</v>
      </c>
      <c r="H191" s="8" t="s">
        <v>12</v>
      </c>
    </row>
    <row r="192" spans="1:8" ht="17.399999999999999" hidden="1" customHeight="1" x14ac:dyDescent="0.3">
      <c r="A192" s="5">
        <v>2</v>
      </c>
      <c r="B192" s="6">
        <v>45869</v>
      </c>
      <c r="C192" s="7" t="s">
        <v>19</v>
      </c>
      <c r="D192" s="8" t="s">
        <v>22</v>
      </c>
      <c r="E192" s="7" t="s">
        <v>23</v>
      </c>
      <c r="F192" s="7" t="s">
        <v>11</v>
      </c>
      <c r="G192" s="63">
        <v>73.97999999999999</v>
      </c>
      <c r="H192" s="8" t="s">
        <v>12</v>
      </c>
    </row>
    <row r="193" spans="1:8" ht="17.399999999999999" hidden="1" customHeight="1" x14ac:dyDescent="0.3">
      <c r="A193" s="5">
        <v>2</v>
      </c>
      <c r="B193" s="6">
        <v>45869</v>
      </c>
      <c r="C193" s="7" t="s">
        <v>19</v>
      </c>
      <c r="D193" s="8" t="s">
        <v>26</v>
      </c>
      <c r="E193" s="7" t="s">
        <v>27</v>
      </c>
      <c r="F193" s="7" t="s">
        <v>11</v>
      </c>
      <c r="G193" s="63">
        <v>142.59</v>
      </c>
      <c r="H193" s="8" t="s">
        <v>12</v>
      </c>
    </row>
    <row r="194" spans="1:8" ht="17.399999999999999" hidden="1" customHeight="1" x14ac:dyDescent="0.3">
      <c r="A194" s="5">
        <v>2</v>
      </c>
      <c r="B194" s="6">
        <v>45869</v>
      </c>
      <c r="C194" s="7" t="s">
        <v>19</v>
      </c>
      <c r="D194" s="8" t="s">
        <v>28</v>
      </c>
      <c r="E194" s="7" t="s">
        <v>29</v>
      </c>
      <c r="F194" s="7" t="s">
        <v>11</v>
      </c>
      <c r="G194" s="63">
        <v>311.03999999999996</v>
      </c>
      <c r="H194" s="8" t="s">
        <v>12</v>
      </c>
    </row>
    <row r="195" spans="1:8" ht="17.399999999999999" hidden="1" customHeight="1" x14ac:dyDescent="0.3">
      <c r="A195" s="5">
        <v>2</v>
      </c>
      <c r="B195" s="6">
        <v>45869</v>
      </c>
      <c r="C195" s="7" t="s">
        <v>19</v>
      </c>
      <c r="D195" s="8" t="s">
        <v>30</v>
      </c>
      <c r="E195" s="7" t="s">
        <v>31</v>
      </c>
      <c r="F195" s="7" t="s">
        <v>11</v>
      </c>
      <c r="G195" s="63">
        <v>60</v>
      </c>
      <c r="H195" s="8" t="s">
        <v>12</v>
      </c>
    </row>
    <row r="196" spans="1:8" ht="17.399999999999999" hidden="1" customHeight="1" x14ac:dyDescent="0.3">
      <c r="A196" s="5">
        <v>2</v>
      </c>
      <c r="B196" s="6">
        <v>45869</v>
      </c>
      <c r="C196" s="7" t="s">
        <v>19</v>
      </c>
      <c r="D196" s="8" t="s">
        <v>35</v>
      </c>
      <c r="E196" s="7" t="s">
        <v>36</v>
      </c>
      <c r="F196" s="7" t="s">
        <v>11</v>
      </c>
      <c r="G196" s="63">
        <v>159.24</v>
      </c>
      <c r="H196" s="8" t="s">
        <v>12</v>
      </c>
    </row>
    <row r="197" spans="1:8" ht="17.399999999999999" hidden="1" customHeight="1" x14ac:dyDescent="0.3">
      <c r="A197" s="5">
        <v>2</v>
      </c>
      <c r="B197" s="6">
        <v>45869</v>
      </c>
      <c r="C197" s="7" t="s">
        <v>19</v>
      </c>
      <c r="D197" s="8" t="s">
        <v>39</v>
      </c>
      <c r="E197" s="7" t="s">
        <v>40</v>
      </c>
      <c r="F197" s="7" t="s">
        <v>11</v>
      </c>
      <c r="G197" s="63">
        <v>101.15999999999998</v>
      </c>
      <c r="H197" s="8" t="s">
        <v>12</v>
      </c>
    </row>
    <row r="198" spans="1:8" ht="17.399999999999999" hidden="1" customHeight="1" x14ac:dyDescent="0.3">
      <c r="A198" s="5">
        <v>2</v>
      </c>
      <c r="B198" s="6">
        <v>45869</v>
      </c>
      <c r="C198" s="7" t="s">
        <v>19</v>
      </c>
      <c r="D198" s="8" t="s">
        <v>37</v>
      </c>
      <c r="E198" s="7" t="s">
        <v>38</v>
      </c>
      <c r="F198" s="7" t="s">
        <v>33</v>
      </c>
      <c r="G198" s="64">
        <v>1115.19</v>
      </c>
      <c r="H198" s="8" t="s">
        <v>12</v>
      </c>
    </row>
    <row r="199" spans="1:8" ht="17.399999999999999" hidden="1" customHeight="1" x14ac:dyDescent="0.3">
      <c r="A199" s="5">
        <v>2</v>
      </c>
      <c r="B199" s="6">
        <v>45869</v>
      </c>
      <c r="C199" s="7" t="s">
        <v>19</v>
      </c>
      <c r="D199" s="8" t="s">
        <v>44</v>
      </c>
      <c r="E199" s="7" t="s">
        <v>45</v>
      </c>
      <c r="F199" s="7" t="s">
        <v>11</v>
      </c>
      <c r="G199" s="63">
        <v>28.8</v>
      </c>
      <c r="H199" s="8" t="s">
        <v>12</v>
      </c>
    </row>
    <row r="200" spans="1:8" ht="17.399999999999999" hidden="1" customHeight="1" x14ac:dyDescent="0.3">
      <c r="A200" s="5">
        <v>2</v>
      </c>
      <c r="B200" s="6">
        <v>45869</v>
      </c>
      <c r="C200" s="7" t="s">
        <v>19</v>
      </c>
      <c r="D200" s="8" t="s">
        <v>47</v>
      </c>
      <c r="E200" s="7" t="s">
        <v>48</v>
      </c>
      <c r="F200" s="7" t="s">
        <v>11</v>
      </c>
      <c r="G200" s="63">
        <v>501.34000000000003</v>
      </c>
      <c r="H200" s="8" t="s">
        <v>12</v>
      </c>
    </row>
    <row r="201" spans="1:8" ht="17.399999999999999" hidden="1" customHeight="1" x14ac:dyDescent="0.3">
      <c r="A201" s="5">
        <v>2</v>
      </c>
      <c r="B201" s="6">
        <v>45869</v>
      </c>
      <c r="C201" s="7" t="s">
        <v>8</v>
      </c>
      <c r="D201" s="8" t="s">
        <v>34</v>
      </c>
      <c r="E201" s="7" t="s">
        <v>10</v>
      </c>
      <c r="F201" s="7" t="s">
        <v>33</v>
      </c>
      <c r="G201" s="62">
        <v>248.09</v>
      </c>
      <c r="H201" s="8" t="s">
        <v>12</v>
      </c>
    </row>
    <row r="202" spans="1:8" ht="17.399999999999999" hidden="1" customHeight="1" x14ac:dyDescent="0.3">
      <c r="A202" s="5">
        <v>2</v>
      </c>
      <c r="B202" s="6">
        <v>45838</v>
      </c>
      <c r="C202" s="7" t="s">
        <v>19</v>
      </c>
      <c r="D202" s="8" t="s">
        <v>20</v>
      </c>
      <c r="E202" s="7" t="s">
        <v>21</v>
      </c>
      <c r="F202" s="7" t="s">
        <v>11</v>
      </c>
      <c r="G202" s="63">
        <v>29.5</v>
      </c>
      <c r="H202" s="8" t="s">
        <v>12</v>
      </c>
    </row>
    <row r="203" spans="1:8" ht="17.399999999999999" hidden="1" customHeight="1" x14ac:dyDescent="0.3">
      <c r="A203" s="5">
        <v>2</v>
      </c>
      <c r="B203" s="6">
        <v>45838</v>
      </c>
      <c r="C203" s="7" t="s">
        <v>19</v>
      </c>
      <c r="D203" s="8" t="s">
        <v>22</v>
      </c>
      <c r="E203" s="7" t="s">
        <v>23</v>
      </c>
      <c r="F203" s="7" t="s">
        <v>11</v>
      </c>
      <c r="G203" s="63">
        <v>200.35</v>
      </c>
      <c r="H203" s="8" t="s">
        <v>12</v>
      </c>
    </row>
    <row r="204" spans="1:8" ht="17.399999999999999" hidden="1" customHeight="1" x14ac:dyDescent="0.3">
      <c r="A204" s="5">
        <v>2</v>
      </c>
      <c r="B204" s="6">
        <v>45838</v>
      </c>
      <c r="C204" s="7" t="s">
        <v>19</v>
      </c>
      <c r="D204" s="8" t="s">
        <v>26</v>
      </c>
      <c r="E204" s="7" t="s">
        <v>27</v>
      </c>
      <c r="F204" s="7" t="s">
        <v>11</v>
      </c>
      <c r="G204" s="63">
        <v>92.249999999999986</v>
      </c>
      <c r="H204" s="8" t="s">
        <v>12</v>
      </c>
    </row>
    <row r="205" spans="1:8" ht="17.399999999999999" hidden="1" customHeight="1" x14ac:dyDescent="0.3">
      <c r="A205" s="5">
        <v>2</v>
      </c>
      <c r="B205" s="6">
        <v>45838</v>
      </c>
      <c r="C205" s="7" t="s">
        <v>19</v>
      </c>
      <c r="D205" s="8" t="s">
        <v>28</v>
      </c>
      <c r="E205" s="7" t="s">
        <v>29</v>
      </c>
      <c r="F205" s="7" t="s">
        <v>11</v>
      </c>
      <c r="G205" s="63">
        <v>274</v>
      </c>
      <c r="H205" s="8" t="s">
        <v>12</v>
      </c>
    </row>
    <row r="206" spans="1:8" ht="17.399999999999999" hidden="1" customHeight="1" x14ac:dyDescent="0.3">
      <c r="A206" s="5">
        <v>2</v>
      </c>
      <c r="B206" s="6">
        <v>45838</v>
      </c>
      <c r="C206" s="7" t="s">
        <v>19</v>
      </c>
      <c r="D206" s="8" t="s">
        <v>35</v>
      </c>
      <c r="E206" s="7" t="s">
        <v>36</v>
      </c>
      <c r="F206" s="7" t="s">
        <v>11</v>
      </c>
      <c r="G206" s="63">
        <v>139.11000000000001</v>
      </c>
      <c r="H206" s="8" t="s">
        <v>12</v>
      </c>
    </row>
    <row r="207" spans="1:8" ht="17.399999999999999" hidden="1" customHeight="1" x14ac:dyDescent="0.3">
      <c r="A207" s="5">
        <v>2</v>
      </c>
      <c r="B207" s="6">
        <v>45838</v>
      </c>
      <c r="C207" s="7" t="s">
        <v>19</v>
      </c>
      <c r="D207" s="8" t="s">
        <v>39</v>
      </c>
      <c r="E207" s="7" t="s">
        <v>40</v>
      </c>
      <c r="F207" s="7" t="s">
        <v>11</v>
      </c>
      <c r="G207" s="63">
        <v>84.68</v>
      </c>
      <c r="H207" s="8" t="s">
        <v>12</v>
      </c>
    </row>
    <row r="208" spans="1:8" ht="17.399999999999999" hidden="1" customHeight="1" x14ac:dyDescent="0.3">
      <c r="A208" s="5">
        <v>2</v>
      </c>
      <c r="B208" s="6">
        <v>45838</v>
      </c>
      <c r="C208" s="7" t="s">
        <v>19</v>
      </c>
      <c r="D208" s="8" t="s">
        <v>37</v>
      </c>
      <c r="E208" s="7" t="s">
        <v>38</v>
      </c>
      <c r="F208" s="7" t="s">
        <v>33</v>
      </c>
      <c r="G208" s="64">
        <v>1115.19</v>
      </c>
      <c r="H208" s="8" t="s">
        <v>12</v>
      </c>
    </row>
    <row r="209" spans="1:8" ht="17.399999999999999" hidden="1" customHeight="1" x14ac:dyDescent="0.3">
      <c r="A209" s="5">
        <v>2</v>
      </c>
      <c r="B209" s="6">
        <v>45838</v>
      </c>
      <c r="C209" s="7" t="s">
        <v>19</v>
      </c>
      <c r="D209" s="8" t="s">
        <v>44</v>
      </c>
      <c r="E209" s="7" t="s">
        <v>45</v>
      </c>
      <c r="F209" s="7" t="s">
        <v>11</v>
      </c>
      <c r="G209" s="63">
        <v>29.22</v>
      </c>
      <c r="H209" s="8" t="s">
        <v>12</v>
      </c>
    </row>
    <row r="210" spans="1:8" ht="17.399999999999999" hidden="1" customHeight="1" x14ac:dyDescent="0.3">
      <c r="A210" s="5">
        <v>2</v>
      </c>
      <c r="B210" s="6">
        <v>45838</v>
      </c>
      <c r="C210" s="7" t="s">
        <v>19</v>
      </c>
      <c r="D210" s="8" t="s">
        <v>47</v>
      </c>
      <c r="E210" s="7" t="s">
        <v>48</v>
      </c>
      <c r="F210" s="7" t="s">
        <v>11</v>
      </c>
      <c r="G210" s="63">
        <v>348.8</v>
      </c>
      <c r="H210" s="8" t="s">
        <v>12</v>
      </c>
    </row>
    <row r="211" spans="1:8" ht="17.399999999999999" hidden="1" customHeight="1" x14ac:dyDescent="0.3">
      <c r="A211" s="5">
        <v>2</v>
      </c>
      <c r="B211" s="6">
        <v>45808</v>
      </c>
      <c r="C211" s="7" t="s">
        <v>19</v>
      </c>
      <c r="D211" s="8" t="s">
        <v>22</v>
      </c>
      <c r="E211" s="7" t="s">
        <v>23</v>
      </c>
      <c r="F211" s="7" t="s">
        <v>11</v>
      </c>
      <c r="G211" s="63">
        <v>63.94</v>
      </c>
      <c r="H211" s="8" t="s">
        <v>12</v>
      </c>
    </row>
    <row r="212" spans="1:8" ht="17.399999999999999" hidden="1" customHeight="1" x14ac:dyDescent="0.3">
      <c r="A212" s="5">
        <v>2</v>
      </c>
      <c r="B212" s="6">
        <v>45808</v>
      </c>
      <c r="C212" s="7" t="s">
        <v>19</v>
      </c>
      <c r="D212" s="8" t="s">
        <v>26</v>
      </c>
      <c r="E212" s="7" t="s">
        <v>27</v>
      </c>
      <c r="F212" s="7" t="s">
        <v>11</v>
      </c>
      <c r="G212" s="63">
        <v>169.24999999999997</v>
      </c>
      <c r="H212" s="8" t="s">
        <v>12</v>
      </c>
    </row>
    <row r="213" spans="1:8" ht="17.399999999999999" hidden="1" customHeight="1" x14ac:dyDescent="0.3">
      <c r="A213" s="5">
        <v>2</v>
      </c>
      <c r="B213" s="6">
        <v>45808</v>
      </c>
      <c r="C213" s="7" t="s">
        <v>19</v>
      </c>
      <c r="D213" s="8" t="s">
        <v>28</v>
      </c>
      <c r="E213" s="7" t="s">
        <v>29</v>
      </c>
      <c r="F213" s="7" t="s">
        <v>11</v>
      </c>
      <c r="G213" s="63">
        <v>284.67</v>
      </c>
      <c r="H213" s="8" t="s">
        <v>12</v>
      </c>
    </row>
    <row r="214" spans="1:8" ht="17.399999999999999" hidden="1" customHeight="1" x14ac:dyDescent="0.3">
      <c r="A214" s="5">
        <v>2</v>
      </c>
      <c r="B214" s="6">
        <v>45808</v>
      </c>
      <c r="C214" s="7" t="s">
        <v>19</v>
      </c>
      <c r="D214" s="8" t="s">
        <v>30</v>
      </c>
      <c r="E214" s="7" t="s">
        <v>31</v>
      </c>
      <c r="F214" s="7" t="s">
        <v>11</v>
      </c>
      <c r="G214" s="63">
        <v>70</v>
      </c>
      <c r="H214" s="8" t="s">
        <v>12</v>
      </c>
    </row>
    <row r="215" spans="1:8" ht="17.399999999999999" hidden="1" customHeight="1" x14ac:dyDescent="0.3">
      <c r="A215" s="5">
        <v>2</v>
      </c>
      <c r="B215" s="6">
        <v>45808</v>
      </c>
      <c r="C215" s="7" t="s">
        <v>19</v>
      </c>
      <c r="D215" s="8" t="s">
        <v>35</v>
      </c>
      <c r="E215" s="7" t="s">
        <v>36</v>
      </c>
      <c r="F215" s="7" t="s">
        <v>11</v>
      </c>
      <c r="G215" s="63">
        <v>181.86</v>
      </c>
      <c r="H215" s="8" t="s">
        <v>12</v>
      </c>
    </row>
    <row r="216" spans="1:8" ht="17.399999999999999" hidden="1" customHeight="1" x14ac:dyDescent="0.3">
      <c r="A216" s="5">
        <v>2</v>
      </c>
      <c r="B216" s="6">
        <v>45808</v>
      </c>
      <c r="C216" s="7" t="s">
        <v>19</v>
      </c>
      <c r="D216" s="8" t="s">
        <v>39</v>
      </c>
      <c r="E216" s="7" t="s">
        <v>40</v>
      </c>
      <c r="F216" s="7" t="s">
        <v>11</v>
      </c>
      <c r="G216" s="63">
        <v>134.01</v>
      </c>
      <c r="H216" s="8" t="s">
        <v>12</v>
      </c>
    </row>
    <row r="217" spans="1:8" ht="17.399999999999999" hidden="1" customHeight="1" x14ac:dyDescent="0.3">
      <c r="A217" s="5">
        <v>2</v>
      </c>
      <c r="B217" s="6">
        <v>45808</v>
      </c>
      <c r="C217" s="7" t="s">
        <v>19</v>
      </c>
      <c r="D217" s="8" t="s">
        <v>44</v>
      </c>
      <c r="E217" s="7" t="s">
        <v>45</v>
      </c>
      <c r="F217" s="7" t="s">
        <v>11</v>
      </c>
      <c r="G217" s="63">
        <v>38.57</v>
      </c>
      <c r="H217" s="8" t="s">
        <v>12</v>
      </c>
    </row>
    <row r="218" spans="1:8" ht="17.399999999999999" hidden="1" customHeight="1" x14ac:dyDescent="0.3">
      <c r="A218" s="5">
        <v>2</v>
      </c>
      <c r="B218" s="6">
        <v>45808</v>
      </c>
      <c r="C218" s="7" t="s">
        <v>19</v>
      </c>
      <c r="D218" s="8" t="s">
        <v>47</v>
      </c>
      <c r="E218" s="7" t="s">
        <v>48</v>
      </c>
      <c r="F218" s="7" t="s">
        <v>11</v>
      </c>
      <c r="G218" s="63">
        <v>341.1</v>
      </c>
      <c r="H218" s="8" t="s">
        <v>12</v>
      </c>
    </row>
    <row r="219" spans="1:8" ht="17.399999999999999" hidden="1" customHeight="1" x14ac:dyDescent="0.3">
      <c r="A219" s="5">
        <v>2</v>
      </c>
      <c r="B219" s="6">
        <v>45808</v>
      </c>
      <c r="C219" s="7" t="s">
        <v>8</v>
      </c>
      <c r="D219" s="8" t="s">
        <v>34</v>
      </c>
      <c r="E219" s="7" t="s">
        <v>10</v>
      </c>
      <c r="F219" s="7" t="s">
        <v>33</v>
      </c>
      <c r="G219" s="62">
        <v>102.54</v>
      </c>
      <c r="H219" s="8" t="s">
        <v>12</v>
      </c>
    </row>
    <row r="220" spans="1:8" ht="17.399999999999999" hidden="1" customHeight="1" x14ac:dyDescent="0.3">
      <c r="A220" s="5">
        <v>2</v>
      </c>
      <c r="B220" s="6">
        <v>45807</v>
      </c>
      <c r="C220" s="7" t="s">
        <v>19</v>
      </c>
      <c r="D220" s="8" t="s">
        <v>37</v>
      </c>
      <c r="E220" s="7" t="s">
        <v>38</v>
      </c>
      <c r="F220" s="7" t="s">
        <v>33</v>
      </c>
      <c r="G220" s="64">
        <v>1115.19</v>
      </c>
      <c r="H220" s="8" t="s">
        <v>12</v>
      </c>
    </row>
    <row r="221" spans="1:8" ht="17.399999999999999" hidden="1" customHeight="1" x14ac:dyDescent="0.3">
      <c r="A221" s="5">
        <v>2</v>
      </c>
      <c r="B221" s="6">
        <v>45777</v>
      </c>
      <c r="C221" s="7" t="s">
        <v>19</v>
      </c>
      <c r="D221" s="8" t="s">
        <v>20</v>
      </c>
      <c r="E221" s="7" t="s">
        <v>21</v>
      </c>
      <c r="F221" s="7" t="s">
        <v>11</v>
      </c>
      <c r="G221" s="63">
        <v>7.29</v>
      </c>
      <c r="H221" s="8" t="s">
        <v>12</v>
      </c>
    </row>
    <row r="222" spans="1:8" ht="17.399999999999999" hidden="1" customHeight="1" x14ac:dyDescent="0.3">
      <c r="A222" s="5">
        <v>2</v>
      </c>
      <c r="B222" s="6">
        <v>45777</v>
      </c>
      <c r="C222" s="7" t="s">
        <v>19</v>
      </c>
      <c r="D222" s="8" t="s">
        <v>22</v>
      </c>
      <c r="E222" s="7" t="s">
        <v>23</v>
      </c>
      <c r="F222" s="7" t="s">
        <v>11</v>
      </c>
      <c r="G222" s="63">
        <v>215.47</v>
      </c>
      <c r="H222" s="8" t="s">
        <v>12</v>
      </c>
    </row>
    <row r="223" spans="1:8" ht="17.399999999999999" hidden="1" customHeight="1" x14ac:dyDescent="0.3">
      <c r="A223" s="5">
        <v>2</v>
      </c>
      <c r="B223" s="6">
        <v>45777</v>
      </c>
      <c r="C223" s="7" t="s">
        <v>19</v>
      </c>
      <c r="D223" s="8" t="s">
        <v>26</v>
      </c>
      <c r="E223" s="7" t="s">
        <v>27</v>
      </c>
      <c r="F223" s="7" t="s">
        <v>11</v>
      </c>
      <c r="G223" s="63">
        <v>165.04</v>
      </c>
      <c r="H223" s="8" t="s">
        <v>12</v>
      </c>
    </row>
    <row r="224" spans="1:8" ht="17.399999999999999" hidden="1" customHeight="1" x14ac:dyDescent="0.3">
      <c r="A224" s="5">
        <v>2</v>
      </c>
      <c r="B224" s="6">
        <v>45777</v>
      </c>
      <c r="C224" s="7" t="s">
        <v>19</v>
      </c>
      <c r="D224" s="8" t="s">
        <v>28</v>
      </c>
      <c r="E224" s="7" t="s">
        <v>29</v>
      </c>
      <c r="F224" s="7" t="s">
        <v>11</v>
      </c>
      <c r="G224" s="63">
        <v>284</v>
      </c>
      <c r="H224" s="8" t="s">
        <v>12</v>
      </c>
    </row>
    <row r="225" spans="1:8" ht="17.399999999999999" hidden="1" customHeight="1" x14ac:dyDescent="0.3">
      <c r="A225" s="5">
        <v>2</v>
      </c>
      <c r="B225" s="6">
        <v>45777</v>
      </c>
      <c r="C225" s="7" t="s">
        <v>19</v>
      </c>
      <c r="D225" s="8" t="s">
        <v>30</v>
      </c>
      <c r="E225" s="7" t="s">
        <v>31</v>
      </c>
      <c r="F225" s="7" t="s">
        <v>11</v>
      </c>
      <c r="G225" s="63">
        <v>60</v>
      </c>
      <c r="H225" s="8" t="s">
        <v>12</v>
      </c>
    </row>
    <row r="226" spans="1:8" ht="17.399999999999999" hidden="1" customHeight="1" x14ac:dyDescent="0.3">
      <c r="A226" s="5">
        <v>2</v>
      </c>
      <c r="B226" s="6">
        <v>45777</v>
      </c>
      <c r="C226" s="7" t="s">
        <v>19</v>
      </c>
      <c r="D226" s="8" t="s">
        <v>35</v>
      </c>
      <c r="E226" s="7" t="s">
        <v>36</v>
      </c>
      <c r="F226" s="7" t="s">
        <v>11</v>
      </c>
      <c r="G226" s="63">
        <v>142.61000000000001</v>
      </c>
      <c r="H226" s="8" t="s">
        <v>12</v>
      </c>
    </row>
    <row r="227" spans="1:8" ht="17.399999999999999" hidden="1" customHeight="1" x14ac:dyDescent="0.3">
      <c r="A227" s="5">
        <v>2</v>
      </c>
      <c r="B227" s="6">
        <v>45777</v>
      </c>
      <c r="C227" s="7" t="s">
        <v>19</v>
      </c>
      <c r="D227" s="8" t="s">
        <v>39</v>
      </c>
      <c r="E227" s="7" t="s">
        <v>40</v>
      </c>
      <c r="F227" s="7" t="s">
        <v>11</v>
      </c>
      <c r="G227" s="63">
        <v>110.52999999999999</v>
      </c>
      <c r="H227" s="8" t="s">
        <v>12</v>
      </c>
    </row>
    <row r="228" spans="1:8" ht="17.399999999999999" hidden="1" customHeight="1" x14ac:dyDescent="0.3">
      <c r="A228" s="5">
        <v>2</v>
      </c>
      <c r="B228" s="6">
        <v>45777</v>
      </c>
      <c r="C228" s="7" t="s">
        <v>19</v>
      </c>
      <c r="D228" s="8" t="s">
        <v>37</v>
      </c>
      <c r="E228" s="7" t="s">
        <v>38</v>
      </c>
      <c r="F228" s="7" t="s">
        <v>33</v>
      </c>
      <c r="G228" s="64">
        <v>1115.19</v>
      </c>
      <c r="H228" s="8" t="s">
        <v>12</v>
      </c>
    </row>
    <row r="229" spans="1:8" ht="17.399999999999999" hidden="1" customHeight="1" x14ac:dyDescent="0.3">
      <c r="A229" s="5">
        <v>2</v>
      </c>
      <c r="B229" s="6">
        <v>45777</v>
      </c>
      <c r="C229" s="7" t="s">
        <v>19</v>
      </c>
      <c r="D229" s="8" t="s">
        <v>44</v>
      </c>
      <c r="E229" s="7" t="s">
        <v>45</v>
      </c>
      <c r="F229" s="7" t="s">
        <v>11</v>
      </c>
      <c r="G229" s="63">
        <v>54.209999999999994</v>
      </c>
      <c r="H229" s="8" t="s">
        <v>12</v>
      </c>
    </row>
    <row r="230" spans="1:8" ht="17.399999999999999" hidden="1" customHeight="1" x14ac:dyDescent="0.3">
      <c r="A230" s="5">
        <v>2</v>
      </c>
      <c r="B230" s="6">
        <v>45777</v>
      </c>
      <c r="C230" s="7" t="s">
        <v>19</v>
      </c>
      <c r="D230" s="8" t="s">
        <v>47</v>
      </c>
      <c r="E230" s="7" t="s">
        <v>48</v>
      </c>
      <c r="F230" s="7" t="s">
        <v>11</v>
      </c>
      <c r="G230" s="63">
        <v>201.54000000000002</v>
      </c>
      <c r="H230" s="8" t="s">
        <v>12</v>
      </c>
    </row>
    <row r="231" spans="1:8" ht="17.399999999999999" hidden="1" customHeight="1" x14ac:dyDescent="0.3">
      <c r="A231" s="5">
        <v>2</v>
      </c>
      <c r="B231" s="6">
        <v>45747</v>
      </c>
      <c r="C231" s="7" t="s">
        <v>19</v>
      </c>
      <c r="D231" s="8" t="s">
        <v>20</v>
      </c>
      <c r="E231" s="7" t="s">
        <v>21</v>
      </c>
      <c r="F231" s="7" t="s">
        <v>11</v>
      </c>
      <c r="G231" s="63">
        <v>7.8</v>
      </c>
      <c r="H231" s="8" t="s">
        <v>12</v>
      </c>
    </row>
    <row r="232" spans="1:8" ht="17.399999999999999" hidden="1" customHeight="1" x14ac:dyDescent="0.3">
      <c r="A232" s="5">
        <v>2</v>
      </c>
      <c r="B232" s="6">
        <v>45747</v>
      </c>
      <c r="C232" s="7" t="s">
        <v>19</v>
      </c>
      <c r="D232" s="8" t="s">
        <v>22</v>
      </c>
      <c r="E232" s="7" t="s">
        <v>23</v>
      </c>
      <c r="F232" s="7" t="s">
        <v>11</v>
      </c>
      <c r="G232" s="63">
        <v>109.78</v>
      </c>
      <c r="H232" s="8" t="s">
        <v>12</v>
      </c>
    </row>
    <row r="233" spans="1:8" ht="17.399999999999999" hidden="1" customHeight="1" x14ac:dyDescent="0.3">
      <c r="A233" s="5">
        <v>2</v>
      </c>
      <c r="B233" s="6">
        <v>45747</v>
      </c>
      <c r="C233" s="7" t="s">
        <v>19</v>
      </c>
      <c r="D233" s="8" t="s">
        <v>26</v>
      </c>
      <c r="E233" s="7" t="s">
        <v>27</v>
      </c>
      <c r="F233" s="7" t="s">
        <v>11</v>
      </c>
      <c r="G233" s="63">
        <v>146.88999999999999</v>
      </c>
      <c r="H233" s="8" t="s">
        <v>12</v>
      </c>
    </row>
    <row r="234" spans="1:8" ht="17.399999999999999" hidden="1" customHeight="1" x14ac:dyDescent="0.3">
      <c r="A234" s="5">
        <v>2</v>
      </c>
      <c r="B234" s="6">
        <v>45747</v>
      </c>
      <c r="C234" s="7" t="s">
        <v>19</v>
      </c>
      <c r="D234" s="8" t="s">
        <v>28</v>
      </c>
      <c r="E234" s="7" t="s">
        <v>29</v>
      </c>
      <c r="F234" s="7" t="s">
        <v>11</v>
      </c>
      <c r="G234" s="63">
        <v>283</v>
      </c>
      <c r="H234" s="8" t="s">
        <v>12</v>
      </c>
    </row>
    <row r="235" spans="1:8" ht="17.399999999999999" hidden="1" customHeight="1" x14ac:dyDescent="0.3">
      <c r="A235" s="5">
        <v>2</v>
      </c>
      <c r="B235" s="6">
        <v>45747</v>
      </c>
      <c r="C235" s="7" t="s">
        <v>19</v>
      </c>
      <c r="D235" s="8" t="s">
        <v>35</v>
      </c>
      <c r="E235" s="7" t="s">
        <v>36</v>
      </c>
      <c r="F235" s="7" t="s">
        <v>11</v>
      </c>
      <c r="G235" s="63">
        <v>305.67</v>
      </c>
      <c r="H235" s="8" t="s">
        <v>12</v>
      </c>
    </row>
    <row r="236" spans="1:8" ht="17.399999999999999" hidden="1" customHeight="1" x14ac:dyDescent="0.3">
      <c r="A236" s="5">
        <v>2</v>
      </c>
      <c r="B236" s="6">
        <v>45747</v>
      </c>
      <c r="C236" s="7" t="s">
        <v>19</v>
      </c>
      <c r="D236" s="8" t="s">
        <v>39</v>
      </c>
      <c r="E236" s="7" t="s">
        <v>40</v>
      </c>
      <c r="F236" s="7" t="s">
        <v>11</v>
      </c>
      <c r="G236" s="63">
        <v>-54.55</v>
      </c>
      <c r="H236" s="8" t="s">
        <v>12</v>
      </c>
    </row>
    <row r="237" spans="1:8" ht="17.399999999999999" hidden="1" customHeight="1" x14ac:dyDescent="0.3">
      <c r="A237" s="5">
        <v>2</v>
      </c>
      <c r="B237" s="6">
        <v>45747</v>
      </c>
      <c r="C237" s="7" t="s">
        <v>19</v>
      </c>
      <c r="D237" s="8" t="s">
        <v>37</v>
      </c>
      <c r="E237" s="7" t="s">
        <v>38</v>
      </c>
      <c r="F237" s="7" t="s">
        <v>33</v>
      </c>
      <c r="G237" s="64">
        <v>1025.23</v>
      </c>
      <c r="H237" s="8" t="s">
        <v>12</v>
      </c>
    </row>
    <row r="238" spans="1:8" ht="17.399999999999999" hidden="1" customHeight="1" x14ac:dyDescent="0.3">
      <c r="A238" s="5">
        <v>2</v>
      </c>
      <c r="B238" s="6">
        <v>45747</v>
      </c>
      <c r="C238" s="7" t="s">
        <v>19</v>
      </c>
      <c r="D238" s="8" t="s">
        <v>47</v>
      </c>
      <c r="E238" s="7" t="s">
        <v>48</v>
      </c>
      <c r="F238" s="7" t="s">
        <v>11</v>
      </c>
      <c r="G238" s="63">
        <v>381.3</v>
      </c>
      <c r="H238" s="8" t="s">
        <v>12</v>
      </c>
    </row>
    <row r="239" spans="1:8" ht="17.399999999999999" hidden="1" customHeight="1" x14ac:dyDescent="0.3">
      <c r="A239" s="5">
        <v>2</v>
      </c>
      <c r="B239" s="6">
        <v>45716</v>
      </c>
      <c r="C239" s="7" t="s">
        <v>19</v>
      </c>
      <c r="D239" s="8" t="s">
        <v>20</v>
      </c>
      <c r="E239" s="7" t="s">
        <v>21</v>
      </c>
      <c r="F239" s="7" t="s">
        <v>11</v>
      </c>
      <c r="G239" s="63">
        <v>10.4</v>
      </c>
      <c r="H239" s="8" t="s">
        <v>12</v>
      </c>
    </row>
    <row r="240" spans="1:8" ht="17.399999999999999" hidden="1" customHeight="1" x14ac:dyDescent="0.3">
      <c r="A240" s="5">
        <v>2</v>
      </c>
      <c r="B240" s="6">
        <v>45716</v>
      </c>
      <c r="C240" s="7" t="s">
        <v>19</v>
      </c>
      <c r="D240" s="8" t="s">
        <v>22</v>
      </c>
      <c r="E240" s="7" t="s">
        <v>23</v>
      </c>
      <c r="F240" s="7" t="s">
        <v>11</v>
      </c>
      <c r="G240" s="63">
        <v>23.009999999999998</v>
      </c>
      <c r="H240" s="8" t="s">
        <v>12</v>
      </c>
    </row>
    <row r="241" spans="1:8" ht="17.399999999999999" hidden="1" customHeight="1" x14ac:dyDescent="0.3">
      <c r="A241" s="5">
        <v>2</v>
      </c>
      <c r="B241" s="6">
        <v>45716</v>
      </c>
      <c r="C241" s="7" t="s">
        <v>19</v>
      </c>
      <c r="D241" s="8" t="s">
        <v>26</v>
      </c>
      <c r="E241" s="7" t="s">
        <v>27</v>
      </c>
      <c r="F241" s="7" t="s">
        <v>11</v>
      </c>
      <c r="G241" s="63">
        <v>140.82</v>
      </c>
      <c r="H241" s="8" t="s">
        <v>12</v>
      </c>
    </row>
    <row r="242" spans="1:8" ht="17.399999999999999" hidden="1" customHeight="1" x14ac:dyDescent="0.3">
      <c r="A242" s="5">
        <v>2</v>
      </c>
      <c r="B242" s="6">
        <v>45716</v>
      </c>
      <c r="C242" s="7" t="s">
        <v>19</v>
      </c>
      <c r="D242" s="8" t="s">
        <v>28</v>
      </c>
      <c r="E242" s="7" t="s">
        <v>29</v>
      </c>
      <c r="F242" s="7" t="s">
        <v>11</v>
      </c>
      <c r="G242" s="63">
        <v>294</v>
      </c>
      <c r="H242" s="8" t="s">
        <v>12</v>
      </c>
    </row>
    <row r="243" spans="1:8" ht="17.399999999999999" hidden="1" customHeight="1" x14ac:dyDescent="0.3">
      <c r="A243" s="5">
        <v>2</v>
      </c>
      <c r="B243" s="6">
        <v>45716</v>
      </c>
      <c r="C243" s="7" t="s">
        <v>19</v>
      </c>
      <c r="D243" s="8" t="s">
        <v>30</v>
      </c>
      <c r="E243" s="7" t="s">
        <v>31</v>
      </c>
      <c r="F243" s="7" t="s">
        <v>11</v>
      </c>
      <c r="G243" s="63">
        <v>81.91</v>
      </c>
      <c r="H243" s="8" t="s">
        <v>12</v>
      </c>
    </row>
    <row r="244" spans="1:8" ht="17.399999999999999" hidden="1" customHeight="1" x14ac:dyDescent="0.3">
      <c r="A244" s="5">
        <v>2</v>
      </c>
      <c r="B244" s="6">
        <v>45716</v>
      </c>
      <c r="C244" s="7" t="s">
        <v>19</v>
      </c>
      <c r="D244" s="8" t="s">
        <v>35</v>
      </c>
      <c r="E244" s="7" t="s">
        <v>36</v>
      </c>
      <c r="F244" s="7" t="s">
        <v>11</v>
      </c>
      <c r="G244" s="63">
        <v>190.5</v>
      </c>
      <c r="H244" s="8" t="s">
        <v>12</v>
      </c>
    </row>
    <row r="245" spans="1:8" ht="17.399999999999999" hidden="1" customHeight="1" x14ac:dyDescent="0.3">
      <c r="A245" s="5">
        <v>2</v>
      </c>
      <c r="B245" s="6">
        <v>45716</v>
      </c>
      <c r="C245" s="7" t="s">
        <v>19</v>
      </c>
      <c r="D245" s="8" t="s">
        <v>39</v>
      </c>
      <c r="E245" s="7" t="s">
        <v>40</v>
      </c>
      <c r="F245" s="7" t="s">
        <v>11</v>
      </c>
      <c r="G245" s="63">
        <v>-261.26</v>
      </c>
      <c r="H245" s="8" t="s">
        <v>12</v>
      </c>
    </row>
    <row r="246" spans="1:8" ht="17.399999999999999" hidden="1" customHeight="1" x14ac:dyDescent="0.3">
      <c r="A246" s="5">
        <v>2</v>
      </c>
      <c r="B246" s="6">
        <v>45716</v>
      </c>
      <c r="C246" s="7" t="s">
        <v>19</v>
      </c>
      <c r="D246" s="8" t="s">
        <v>37</v>
      </c>
      <c r="E246" s="7" t="s">
        <v>38</v>
      </c>
      <c r="F246" s="7" t="s">
        <v>33</v>
      </c>
      <c r="G246" s="64">
        <v>1025.23</v>
      </c>
      <c r="H246" s="8" t="s">
        <v>12</v>
      </c>
    </row>
    <row r="247" spans="1:8" ht="17.399999999999999" hidden="1" customHeight="1" x14ac:dyDescent="0.3">
      <c r="A247" s="5">
        <v>2</v>
      </c>
      <c r="B247" s="6">
        <v>45716</v>
      </c>
      <c r="C247" s="7" t="s">
        <v>19</v>
      </c>
      <c r="D247" s="8" t="s">
        <v>44</v>
      </c>
      <c r="E247" s="7" t="s">
        <v>45</v>
      </c>
      <c r="F247" s="7" t="s">
        <v>11</v>
      </c>
      <c r="G247" s="63">
        <v>9.65</v>
      </c>
      <c r="H247" s="8" t="s">
        <v>12</v>
      </c>
    </row>
    <row r="248" spans="1:8" ht="17.399999999999999" hidden="1" customHeight="1" x14ac:dyDescent="0.3">
      <c r="A248" s="5">
        <v>2</v>
      </c>
      <c r="B248" s="6">
        <v>45716</v>
      </c>
      <c r="C248" s="7" t="s">
        <v>19</v>
      </c>
      <c r="D248" s="8" t="s">
        <v>47</v>
      </c>
      <c r="E248" s="7" t="s">
        <v>48</v>
      </c>
      <c r="F248" s="7" t="s">
        <v>11</v>
      </c>
      <c r="G248" s="63">
        <v>348.63</v>
      </c>
      <c r="H248" s="8" t="s">
        <v>12</v>
      </c>
    </row>
    <row r="249" spans="1:8" ht="17.399999999999999" hidden="1" customHeight="1" x14ac:dyDescent="0.3">
      <c r="A249" s="5">
        <v>2</v>
      </c>
      <c r="B249" s="6">
        <v>45716</v>
      </c>
      <c r="C249" s="7" t="s">
        <v>8</v>
      </c>
      <c r="D249" s="8" t="s">
        <v>34</v>
      </c>
      <c r="E249" s="7" t="s">
        <v>10</v>
      </c>
      <c r="F249" s="7" t="s">
        <v>33</v>
      </c>
      <c r="G249" s="62">
        <v>650.47</v>
      </c>
      <c r="H249" s="8" t="s">
        <v>12</v>
      </c>
    </row>
    <row r="250" spans="1:8" ht="17.399999999999999" hidden="1" customHeight="1" x14ac:dyDescent="0.3">
      <c r="A250" s="5">
        <v>2</v>
      </c>
      <c r="B250" s="6">
        <v>45694</v>
      </c>
      <c r="C250" s="7" t="s">
        <v>8</v>
      </c>
      <c r="D250" s="8" t="s">
        <v>24</v>
      </c>
      <c r="E250" s="7" t="s">
        <v>10</v>
      </c>
      <c r="F250" s="7" t="s">
        <v>11</v>
      </c>
      <c r="G250" s="62">
        <v>298.06</v>
      </c>
      <c r="H250" s="8" t="s">
        <v>12</v>
      </c>
    </row>
    <row r="251" spans="1:8" ht="17.399999999999999" hidden="1" customHeight="1" x14ac:dyDescent="0.3">
      <c r="A251" s="5">
        <v>2</v>
      </c>
      <c r="B251" s="6">
        <v>45688</v>
      </c>
      <c r="C251" s="7" t="s">
        <v>19</v>
      </c>
      <c r="D251" s="8" t="s">
        <v>20</v>
      </c>
      <c r="E251" s="7" t="s">
        <v>21</v>
      </c>
      <c r="F251" s="7" t="s">
        <v>11</v>
      </c>
      <c r="G251" s="63">
        <v>4.04</v>
      </c>
      <c r="H251" s="8" t="s">
        <v>12</v>
      </c>
    </row>
    <row r="252" spans="1:8" ht="17.399999999999999" hidden="1" customHeight="1" x14ac:dyDescent="0.3">
      <c r="A252" s="5">
        <v>2</v>
      </c>
      <c r="B252" s="6">
        <v>45688</v>
      </c>
      <c r="C252" s="7" t="s">
        <v>19</v>
      </c>
      <c r="D252" s="8" t="s">
        <v>22</v>
      </c>
      <c r="E252" s="7" t="s">
        <v>23</v>
      </c>
      <c r="F252" s="7" t="s">
        <v>11</v>
      </c>
      <c r="G252" s="63">
        <v>73.739999999999995</v>
      </c>
      <c r="H252" s="8" t="s">
        <v>12</v>
      </c>
    </row>
    <row r="253" spans="1:8" ht="17.399999999999999" hidden="1" customHeight="1" x14ac:dyDescent="0.3">
      <c r="A253" s="5">
        <v>2</v>
      </c>
      <c r="B253" s="6">
        <v>45688</v>
      </c>
      <c r="C253" s="7" t="s">
        <v>19</v>
      </c>
      <c r="D253" s="8" t="s">
        <v>26</v>
      </c>
      <c r="E253" s="7" t="s">
        <v>27</v>
      </c>
      <c r="F253" s="7" t="s">
        <v>11</v>
      </c>
      <c r="G253" s="63">
        <v>111.10999999999999</v>
      </c>
      <c r="H253" s="8" t="s">
        <v>12</v>
      </c>
    </row>
    <row r="254" spans="1:8" ht="17.399999999999999" hidden="1" customHeight="1" x14ac:dyDescent="0.3">
      <c r="A254" s="5">
        <v>2</v>
      </c>
      <c r="B254" s="6">
        <v>45688</v>
      </c>
      <c r="C254" s="7" t="s">
        <v>19</v>
      </c>
      <c r="D254" s="8" t="s">
        <v>28</v>
      </c>
      <c r="E254" s="7" t="s">
        <v>29</v>
      </c>
      <c r="F254" s="7" t="s">
        <v>11</v>
      </c>
      <c r="G254" s="63">
        <v>297.79000000000002</v>
      </c>
      <c r="H254" s="8" t="s">
        <v>12</v>
      </c>
    </row>
    <row r="255" spans="1:8" ht="17.399999999999999" hidden="1" customHeight="1" x14ac:dyDescent="0.3">
      <c r="A255" s="5">
        <v>2</v>
      </c>
      <c r="B255" s="6">
        <v>45688</v>
      </c>
      <c r="C255" s="7" t="s">
        <v>19</v>
      </c>
      <c r="D255" s="8" t="s">
        <v>30</v>
      </c>
      <c r="E255" s="7" t="s">
        <v>31</v>
      </c>
      <c r="F255" s="7" t="s">
        <v>11</v>
      </c>
      <c r="G255" s="63">
        <v>70</v>
      </c>
      <c r="H255" s="8" t="s">
        <v>12</v>
      </c>
    </row>
    <row r="256" spans="1:8" ht="17.399999999999999" hidden="1" customHeight="1" x14ac:dyDescent="0.3">
      <c r="A256" s="5">
        <v>2</v>
      </c>
      <c r="B256" s="6">
        <v>45688</v>
      </c>
      <c r="C256" s="7" t="s">
        <v>19</v>
      </c>
      <c r="D256" s="8" t="s">
        <v>35</v>
      </c>
      <c r="E256" s="7" t="s">
        <v>36</v>
      </c>
      <c r="F256" s="7" t="s">
        <v>11</v>
      </c>
      <c r="G256" s="63">
        <v>177.25</v>
      </c>
      <c r="H256" s="8" t="s">
        <v>12</v>
      </c>
    </row>
    <row r="257" spans="1:8" ht="17.399999999999999" hidden="1" customHeight="1" x14ac:dyDescent="0.3">
      <c r="A257" s="5">
        <v>2</v>
      </c>
      <c r="B257" s="6">
        <v>45688</v>
      </c>
      <c r="C257" s="7" t="s">
        <v>19</v>
      </c>
      <c r="D257" s="8" t="s">
        <v>39</v>
      </c>
      <c r="E257" s="7" t="s">
        <v>40</v>
      </c>
      <c r="F257" s="7" t="s">
        <v>11</v>
      </c>
      <c r="G257" s="63">
        <v>104.77</v>
      </c>
      <c r="H257" s="8" t="s">
        <v>12</v>
      </c>
    </row>
    <row r="258" spans="1:8" ht="17.399999999999999" hidden="1" customHeight="1" x14ac:dyDescent="0.3">
      <c r="A258" s="5">
        <v>2</v>
      </c>
      <c r="B258" s="6">
        <v>45688</v>
      </c>
      <c r="C258" s="7" t="s">
        <v>19</v>
      </c>
      <c r="D258" s="8" t="s">
        <v>37</v>
      </c>
      <c r="E258" s="7" t="s">
        <v>38</v>
      </c>
      <c r="F258" s="7" t="s">
        <v>33</v>
      </c>
      <c r="G258" s="64">
        <v>1025.23</v>
      </c>
      <c r="H258" s="8" t="s">
        <v>12</v>
      </c>
    </row>
    <row r="259" spans="1:8" ht="17.399999999999999" hidden="1" customHeight="1" x14ac:dyDescent="0.3">
      <c r="A259" s="5">
        <v>2</v>
      </c>
      <c r="B259" s="6">
        <v>45688</v>
      </c>
      <c r="C259" s="7" t="s">
        <v>19</v>
      </c>
      <c r="D259" s="8" t="s">
        <v>44</v>
      </c>
      <c r="E259" s="7" t="s">
        <v>45</v>
      </c>
      <c r="F259" s="7" t="s">
        <v>11</v>
      </c>
      <c r="G259" s="63">
        <v>33.71</v>
      </c>
      <c r="H259" s="8" t="s">
        <v>12</v>
      </c>
    </row>
    <row r="260" spans="1:8" ht="17.399999999999999" hidden="1" customHeight="1" x14ac:dyDescent="0.3">
      <c r="A260" s="5">
        <v>2</v>
      </c>
      <c r="B260" s="6">
        <v>45688</v>
      </c>
      <c r="C260" s="7" t="s">
        <v>19</v>
      </c>
      <c r="D260" s="8" t="s">
        <v>47</v>
      </c>
      <c r="E260" s="7" t="s">
        <v>48</v>
      </c>
      <c r="F260" s="7" t="s">
        <v>11</v>
      </c>
      <c r="G260" s="63">
        <v>100.47</v>
      </c>
      <c r="H260" s="8" t="s">
        <v>12</v>
      </c>
    </row>
    <row r="261" spans="1:8" ht="17.399999999999999" hidden="1" customHeight="1" x14ac:dyDescent="0.3">
      <c r="A261" s="5">
        <v>2</v>
      </c>
      <c r="B261" s="6">
        <v>45688</v>
      </c>
      <c r="C261" s="7" t="s">
        <v>8</v>
      </c>
      <c r="D261" s="8" t="s">
        <v>34</v>
      </c>
      <c r="E261" s="7" t="s">
        <v>10</v>
      </c>
      <c r="F261" s="7" t="s">
        <v>33</v>
      </c>
      <c r="G261" s="62">
        <v>436.34</v>
      </c>
      <c r="H261" s="8" t="s">
        <v>12</v>
      </c>
    </row>
    <row r="262" spans="1:8" ht="17.399999999999999" hidden="1" customHeight="1" x14ac:dyDescent="0.3">
      <c r="A262" s="5">
        <v>2</v>
      </c>
      <c r="B262" s="6">
        <v>45657</v>
      </c>
      <c r="C262" s="7" t="s">
        <v>19</v>
      </c>
      <c r="D262" s="8" t="s">
        <v>20</v>
      </c>
      <c r="E262" s="7" t="s">
        <v>21</v>
      </c>
      <c r="F262" s="7" t="s">
        <v>11</v>
      </c>
      <c r="G262" s="62">
        <v>11.05</v>
      </c>
      <c r="H262" s="8" t="s">
        <v>12</v>
      </c>
    </row>
    <row r="263" spans="1:8" ht="17.399999999999999" hidden="1" customHeight="1" x14ac:dyDescent="0.3">
      <c r="A263" s="5">
        <v>2</v>
      </c>
      <c r="B263" s="6">
        <v>45657</v>
      </c>
      <c r="C263" s="7" t="s">
        <v>19</v>
      </c>
      <c r="D263" s="8" t="s">
        <v>22</v>
      </c>
      <c r="E263" s="7" t="s">
        <v>23</v>
      </c>
      <c r="F263" s="7" t="s">
        <v>11</v>
      </c>
      <c r="G263" s="62">
        <v>123.28999999999999</v>
      </c>
      <c r="H263" s="8" t="s">
        <v>12</v>
      </c>
    </row>
    <row r="264" spans="1:8" ht="17.399999999999999" hidden="1" customHeight="1" x14ac:dyDescent="0.3">
      <c r="A264" s="5">
        <v>2</v>
      </c>
      <c r="B264" s="6">
        <v>45657</v>
      </c>
      <c r="C264" s="7" t="s">
        <v>19</v>
      </c>
      <c r="D264" s="8" t="s">
        <v>26</v>
      </c>
      <c r="E264" s="7" t="s">
        <v>27</v>
      </c>
      <c r="F264" s="7" t="s">
        <v>11</v>
      </c>
      <c r="G264" s="62">
        <v>102.53999999999999</v>
      </c>
      <c r="H264" s="8" t="s">
        <v>12</v>
      </c>
    </row>
    <row r="265" spans="1:8" ht="17.399999999999999" hidden="1" customHeight="1" x14ac:dyDescent="0.3">
      <c r="A265" s="5">
        <v>2</v>
      </c>
      <c r="B265" s="6">
        <v>45657</v>
      </c>
      <c r="C265" s="7" t="s">
        <v>19</v>
      </c>
      <c r="D265" s="8" t="s">
        <v>28</v>
      </c>
      <c r="E265" s="7" t="s">
        <v>29</v>
      </c>
      <c r="F265" s="7" t="s">
        <v>11</v>
      </c>
      <c r="G265" s="62">
        <v>274</v>
      </c>
      <c r="H265" s="8" t="s">
        <v>12</v>
      </c>
    </row>
    <row r="266" spans="1:8" ht="17.399999999999999" hidden="1" customHeight="1" x14ac:dyDescent="0.3">
      <c r="A266" s="5">
        <v>2</v>
      </c>
      <c r="B266" s="6">
        <v>45657</v>
      </c>
      <c r="C266" s="7" t="s">
        <v>19</v>
      </c>
      <c r="D266" s="8" t="s">
        <v>30</v>
      </c>
      <c r="E266" s="7" t="s">
        <v>31</v>
      </c>
      <c r="F266" s="7" t="s">
        <v>11</v>
      </c>
      <c r="G266" s="62">
        <v>40</v>
      </c>
      <c r="H266" s="8" t="s">
        <v>12</v>
      </c>
    </row>
    <row r="267" spans="1:8" ht="17.399999999999999" hidden="1" customHeight="1" x14ac:dyDescent="0.3">
      <c r="A267" s="5">
        <v>2</v>
      </c>
      <c r="B267" s="6">
        <v>45657</v>
      </c>
      <c r="C267" s="7" t="s">
        <v>19</v>
      </c>
      <c r="D267" s="8" t="s">
        <v>35</v>
      </c>
      <c r="E267" s="7" t="s">
        <v>36</v>
      </c>
      <c r="F267" s="7" t="s">
        <v>11</v>
      </c>
      <c r="G267" s="62">
        <v>143.09</v>
      </c>
      <c r="H267" s="8" t="s">
        <v>12</v>
      </c>
    </row>
    <row r="268" spans="1:8" ht="17.399999999999999" hidden="1" customHeight="1" x14ac:dyDescent="0.3">
      <c r="A268" s="5">
        <v>2</v>
      </c>
      <c r="B268" s="6">
        <v>45657</v>
      </c>
      <c r="C268" s="7" t="s">
        <v>19</v>
      </c>
      <c r="D268" s="8" t="s">
        <v>39</v>
      </c>
      <c r="E268" s="7" t="s">
        <v>40</v>
      </c>
      <c r="F268" s="7" t="s">
        <v>11</v>
      </c>
      <c r="G268" s="62">
        <v>107.53999999999999</v>
      </c>
      <c r="H268" s="8" t="s">
        <v>12</v>
      </c>
    </row>
    <row r="269" spans="1:8" ht="17.399999999999999" hidden="1" customHeight="1" x14ac:dyDescent="0.3">
      <c r="A269" s="5">
        <v>2</v>
      </c>
      <c r="B269" s="6">
        <v>45657</v>
      </c>
      <c r="C269" s="7" t="s">
        <v>19</v>
      </c>
      <c r="D269" s="8" t="s">
        <v>44</v>
      </c>
      <c r="E269" s="7" t="s">
        <v>45</v>
      </c>
      <c r="F269" s="7" t="s">
        <v>11</v>
      </c>
      <c r="G269" s="62">
        <v>52.92</v>
      </c>
      <c r="H269" s="8" t="s">
        <v>12</v>
      </c>
    </row>
    <row r="270" spans="1:8" ht="17.399999999999999" hidden="1" customHeight="1" x14ac:dyDescent="0.3">
      <c r="A270" s="5">
        <v>2</v>
      </c>
      <c r="B270" s="6">
        <v>45657</v>
      </c>
      <c r="C270" s="7" t="s">
        <v>19</v>
      </c>
      <c r="D270" s="8" t="s">
        <v>47</v>
      </c>
      <c r="E270" s="7" t="s">
        <v>48</v>
      </c>
      <c r="F270" s="7" t="s">
        <v>11</v>
      </c>
      <c r="G270" s="62">
        <v>85.5</v>
      </c>
      <c r="H270" s="8" t="s">
        <v>12</v>
      </c>
    </row>
    <row r="271" spans="1:8" ht="17.399999999999999" hidden="1" customHeight="1" x14ac:dyDescent="0.3">
      <c r="A271" s="5">
        <v>2</v>
      </c>
      <c r="B271" s="6">
        <v>45656</v>
      </c>
      <c r="C271" s="7" t="s">
        <v>19</v>
      </c>
      <c r="D271" s="8" t="s">
        <v>37</v>
      </c>
      <c r="E271" s="7" t="s">
        <v>38</v>
      </c>
      <c r="F271" s="7" t="s">
        <v>33</v>
      </c>
      <c r="G271" s="64">
        <v>1023.8</v>
      </c>
      <c r="H271" s="8" t="s">
        <v>12</v>
      </c>
    </row>
    <row r="272" spans="1:8" ht="17.399999999999999" hidden="1" customHeight="1" x14ac:dyDescent="0.3">
      <c r="A272" s="5">
        <v>2</v>
      </c>
      <c r="B272" s="6">
        <v>45643</v>
      </c>
      <c r="C272" s="7" t="s">
        <v>8</v>
      </c>
      <c r="D272" s="8" t="s">
        <v>17</v>
      </c>
      <c r="E272" s="7" t="s">
        <v>10</v>
      </c>
      <c r="F272" s="7" t="s">
        <v>11</v>
      </c>
      <c r="G272" s="62">
        <v>298.95999999999998</v>
      </c>
      <c r="H272" s="8" t="s">
        <v>12</v>
      </c>
    </row>
    <row r="273" spans="1:8" ht="17.399999999999999" hidden="1" customHeight="1" x14ac:dyDescent="0.3">
      <c r="A273" s="5">
        <v>2</v>
      </c>
      <c r="B273" s="6">
        <v>45638</v>
      </c>
      <c r="C273" s="7" t="s">
        <v>8</v>
      </c>
      <c r="D273" s="8" t="s">
        <v>32</v>
      </c>
      <c r="E273" s="7" t="s">
        <v>10</v>
      </c>
      <c r="F273" s="7" t="s">
        <v>33</v>
      </c>
      <c r="G273" s="62">
        <v>100</v>
      </c>
      <c r="H273" s="8" t="s">
        <v>12</v>
      </c>
    </row>
    <row r="274" spans="1:8" ht="17.399999999999999" hidden="1" customHeight="1" x14ac:dyDescent="0.3">
      <c r="A274" s="5">
        <v>2</v>
      </c>
      <c r="B274" s="6">
        <v>45626</v>
      </c>
      <c r="C274" s="7" t="s">
        <v>19</v>
      </c>
      <c r="D274" s="8" t="s">
        <v>20</v>
      </c>
      <c r="E274" s="7" t="s">
        <v>21</v>
      </c>
      <c r="F274" s="7" t="s">
        <v>11</v>
      </c>
      <c r="G274" s="62">
        <v>28.24</v>
      </c>
      <c r="H274" s="8" t="s">
        <v>12</v>
      </c>
    </row>
    <row r="275" spans="1:8" ht="17.399999999999999" hidden="1" customHeight="1" x14ac:dyDescent="0.3">
      <c r="A275" s="5">
        <v>2</v>
      </c>
      <c r="B275" s="6">
        <v>45626</v>
      </c>
      <c r="C275" s="7" t="s">
        <v>19</v>
      </c>
      <c r="D275" s="8" t="s">
        <v>22</v>
      </c>
      <c r="E275" s="7" t="s">
        <v>23</v>
      </c>
      <c r="F275" s="7" t="s">
        <v>11</v>
      </c>
      <c r="G275" s="62">
        <v>88.85</v>
      </c>
      <c r="H275" s="8" t="s">
        <v>12</v>
      </c>
    </row>
    <row r="276" spans="1:8" ht="17.399999999999999" hidden="1" customHeight="1" x14ac:dyDescent="0.3">
      <c r="A276" s="5">
        <v>2</v>
      </c>
      <c r="B276" s="6">
        <v>45626</v>
      </c>
      <c r="C276" s="7" t="s">
        <v>19</v>
      </c>
      <c r="D276" s="8" t="s">
        <v>26</v>
      </c>
      <c r="E276" s="7" t="s">
        <v>27</v>
      </c>
      <c r="F276" s="7" t="s">
        <v>11</v>
      </c>
      <c r="G276" s="62">
        <v>135.14999999999998</v>
      </c>
      <c r="H276" s="8" t="s">
        <v>12</v>
      </c>
    </row>
    <row r="277" spans="1:8" ht="17.399999999999999" hidden="1" customHeight="1" x14ac:dyDescent="0.3">
      <c r="A277" s="5">
        <v>2</v>
      </c>
      <c r="B277" s="6">
        <v>45626</v>
      </c>
      <c r="C277" s="7" t="s">
        <v>19</v>
      </c>
      <c r="D277" s="8" t="s">
        <v>28</v>
      </c>
      <c r="E277" s="7" t="s">
        <v>29</v>
      </c>
      <c r="F277" s="7" t="s">
        <v>11</v>
      </c>
      <c r="G277" s="62">
        <v>284.8</v>
      </c>
      <c r="H277" s="8" t="s">
        <v>12</v>
      </c>
    </row>
    <row r="278" spans="1:8" ht="17.399999999999999" hidden="1" customHeight="1" x14ac:dyDescent="0.3">
      <c r="A278" s="5">
        <v>2</v>
      </c>
      <c r="B278" s="6">
        <v>45626</v>
      </c>
      <c r="C278" s="7" t="s">
        <v>19</v>
      </c>
      <c r="D278" s="8" t="s">
        <v>30</v>
      </c>
      <c r="E278" s="7" t="s">
        <v>31</v>
      </c>
      <c r="F278" s="7" t="s">
        <v>11</v>
      </c>
      <c r="G278" s="62">
        <v>40.76</v>
      </c>
      <c r="H278" s="8" t="s">
        <v>12</v>
      </c>
    </row>
    <row r="279" spans="1:8" ht="17.399999999999999" hidden="1" customHeight="1" x14ac:dyDescent="0.3">
      <c r="A279" s="5">
        <v>2</v>
      </c>
      <c r="B279" s="6">
        <v>45626</v>
      </c>
      <c r="C279" s="7" t="s">
        <v>19</v>
      </c>
      <c r="D279" s="8" t="s">
        <v>35</v>
      </c>
      <c r="E279" s="7" t="s">
        <v>36</v>
      </c>
      <c r="F279" s="7" t="s">
        <v>11</v>
      </c>
      <c r="G279" s="62">
        <v>163.84</v>
      </c>
      <c r="H279" s="8" t="s">
        <v>12</v>
      </c>
    </row>
    <row r="280" spans="1:8" ht="17.399999999999999" hidden="1" customHeight="1" x14ac:dyDescent="0.3">
      <c r="A280" s="5">
        <v>2</v>
      </c>
      <c r="B280" s="6">
        <v>45626</v>
      </c>
      <c r="C280" s="7" t="s">
        <v>19</v>
      </c>
      <c r="D280" s="8" t="s">
        <v>39</v>
      </c>
      <c r="E280" s="7" t="s">
        <v>40</v>
      </c>
      <c r="F280" s="7" t="s">
        <v>11</v>
      </c>
      <c r="G280" s="62">
        <v>50.83</v>
      </c>
      <c r="H280" s="8" t="s">
        <v>12</v>
      </c>
    </row>
    <row r="281" spans="1:8" ht="17.399999999999999" hidden="1" customHeight="1" x14ac:dyDescent="0.3">
      <c r="A281" s="5">
        <v>2</v>
      </c>
      <c r="B281" s="6">
        <v>45626</v>
      </c>
      <c r="C281" s="7" t="s">
        <v>19</v>
      </c>
      <c r="D281" s="8" t="s">
        <v>44</v>
      </c>
      <c r="E281" s="7" t="s">
        <v>45</v>
      </c>
      <c r="F281" s="7" t="s">
        <v>11</v>
      </c>
      <c r="G281" s="62">
        <v>5.59</v>
      </c>
      <c r="H281" s="8" t="s">
        <v>12</v>
      </c>
    </row>
    <row r="282" spans="1:8" ht="17.399999999999999" hidden="1" customHeight="1" x14ac:dyDescent="0.3">
      <c r="A282" s="5">
        <v>2</v>
      </c>
      <c r="B282" s="6">
        <v>45626</v>
      </c>
      <c r="C282" s="7" t="s">
        <v>19</v>
      </c>
      <c r="D282" s="8" t="s">
        <v>47</v>
      </c>
      <c r="E282" s="7" t="s">
        <v>48</v>
      </c>
      <c r="F282" s="7" t="s">
        <v>11</v>
      </c>
      <c r="G282" s="62">
        <v>276.43</v>
      </c>
      <c r="H282" s="8" t="s">
        <v>12</v>
      </c>
    </row>
    <row r="283" spans="1:8" ht="17.399999999999999" hidden="1" customHeight="1" x14ac:dyDescent="0.3">
      <c r="A283" s="5">
        <v>2</v>
      </c>
      <c r="B283" s="6">
        <v>45625</v>
      </c>
      <c r="C283" s="7" t="s">
        <v>19</v>
      </c>
      <c r="D283" s="8" t="s">
        <v>37</v>
      </c>
      <c r="E283" s="7" t="s">
        <v>38</v>
      </c>
      <c r="F283" s="7" t="s">
        <v>33</v>
      </c>
      <c r="G283" s="64">
        <v>1023.8</v>
      </c>
      <c r="H283" s="8" t="s">
        <v>12</v>
      </c>
    </row>
    <row r="284" spans="1:8" ht="17.399999999999999" hidden="1" customHeight="1" x14ac:dyDescent="0.3">
      <c r="A284" s="5">
        <v>2</v>
      </c>
      <c r="B284" s="6">
        <v>45619</v>
      </c>
      <c r="C284" s="7" t="s">
        <v>8</v>
      </c>
      <c r="D284" s="8" t="s">
        <v>32</v>
      </c>
      <c r="E284" s="7" t="s">
        <v>10</v>
      </c>
      <c r="F284" s="7" t="s">
        <v>33</v>
      </c>
      <c r="G284" s="62">
        <v>82.04</v>
      </c>
      <c r="H284" s="8" t="s">
        <v>12</v>
      </c>
    </row>
    <row r="285" spans="1:8" ht="17.399999999999999" hidden="1" customHeight="1" x14ac:dyDescent="0.3">
      <c r="A285" s="5">
        <v>2</v>
      </c>
      <c r="B285" s="6">
        <v>45613</v>
      </c>
      <c r="C285" s="7" t="s">
        <v>8</v>
      </c>
      <c r="D285" s="8" t="s">
        <v>16</v>
      </c>
      <c r="E285" s="7" t="s">
        <v>10</v>
      </c>
      <c r="F285" s="7" t="s">
        <v>11</v>
      </c>
      <c r="G285" s="62">
        <v>298.95999999999998</v>
      </c>
      <c r="H285" s="8" t="s">
        <v>12</v>
      </c>
    </row>
    <row r="286" spans="1:8" ht="17.399999999999999" hidden="1" customHeight="1" x14ac:dyDescent="0.3">
      <c r="A286" s="5">
        <v>2</v>
      </c>
      <c r="B286" s="6">
        <v>45610</v>
      </c>
      <c r="C286" s="7" t="s">
        <v>8</v>
      </c>
      <c r="D286" s="8" t="s">
        <v>32</v>
      </c>
      <c r="E286" s="7" t="s">
        <v>10</v>
      </c>
      <c r="F286" s="7" t="s">
        <v>33</v>
      </c>
      <c r="G286" s="62">
        <v>242.13</v>
      </c>
      <c r="H286" s="8" t="s">
        <v>12</v>
      </c>
    </row>
    <row r="287" spans="1:8" ht="17.399999999999999" hidden="1" customHeight="1" x14ac:dyDescent="0.3">
      <c r="A287" s="5">
        <v>2</v>
      </c>
      <c r="B287" s="6">
        <v>45605</v>
      </c>
      <c r="C287" s="7" t="s">
        <v>8</v>
      </c>
      <c r="D287" s="8" t="s">
        <v>32</v>
      </c>
      <c r="E287" s="7" t="s">
        <v>10</v>
      </c>
      <c r="F287" s="7" t="s">
        <v>33</v>
      </c>
      <c r="G287" s="62">
        <v>79.94</v>
      </c>
      <c r="H287" s="8" t="s">
        <v>12</v>
      </c>
    </row>
    <row r="288" spans="1:8" ht="17.399999999999999" hidden="1" customHeight="1" x14ac:dyDescent="0.3">
      <c r="A288" s="5">
        <v>2</v>
      </c>
      <c r="B288" s="6">
        <v>45596</v>
      </c>
      <c r="C288" s="7" t="s">
        <v>19</v>
      </c>
      <c r="D288" s="8" t="s">
        <v>20</v>
      </c>
      <c r="E288" s="7" t="s">
        <v>21</v>
      </c>
      <c r="F288" s="7" t="s">
        <v>11</v>
      </c>
      <c r="G288" s="62">
        <v>9</v>
      </c>
      <c r="H288" s="8" t="s">
        <v>12</v>
      </c>
    </row>
    <row r="289" spans="1:8" ht="17.399999999999999" hidden="1" customHeight="1" x14ac:dyDescent="0.3">
      <c r="A289" s="5">
        <v>2</v>
      </c>
      <c r="B289" s="6">
        <v>45596</v>
      </c>
      <c r="C289" s="7" t="s">
        <v>19</v>
      </c>
      <c r="D289" s="8" t="s">
        <v>22</v>
      </c>
      <c r="E289" s="7" t="s">
        <v>23</v>
      </c>
      <c r="F289" s="7" t="s">
        <v>11</v>
      </c>
      <c r="G289" s="62">
        <v>84.93</v>
      </c>
      <c r="H289" s="8" t="s">
        <v>12</v>
      </c>
    </row>
    <row r="290" spans="1:8" ht="17.399999999999999" hidden="1" customHeight="1" x14ac:dyDescent="0.3">
      <c r="A290" s="5">
        <v>2</v>
      </c>
      <c r="B290" s="6">
        <v>45596</v>
      </c>
      <c r="C290" s="7" t="s">
        <v>19</v>
      </c>
      <c r="D290" s="8" t="s">
        <v>26</v>
      </c>
      <c r="E290" s="7" t="s">
        <v>27</v>
      </c>
      <c r="F290" s="7" t="s">
        <v>11</v>
      </c>
      <c r="G290" s="62">
        <v>50.86</v>
      </c>
      <c r="H290" s="8" t="s">
        <v>12</v>
      </c>
    </row>
    <row r="291" spans="1:8" ht="17.399999999999999" hidden="1" customHeight="1" x14ac:dyDescent="0.3">
      <c r="A291" s="5">
        <v>2</v>
      </c>
      <c r="B291" s="6">
        <v>45596</v>
      </c>
      <c r="C291" s="7" t="s">
        <v>19</v>
      </c>
      <c r="D291" s="8" t="s">
        <v>28</v>
      </c>
      <c r="E291" s="7" t="s">
        <v>29</v>
      </c>
      <c r="F291" s="7" t="s">
        <v>11</v>
      </c>
      <c r="G291" s="62">
        <v>274</v>
      </c>
      <c r="H291" s="8" t="s">
        <v>12</v>
      </c>
    </row>
    <row r="292" spans="1:8" ht="17.399999999999999" hidden="1" customHeight="1" x14ac:dyDescent="0.3">
      <c r="A292" s="5">
        <v>2</v>
      </c>
      <c r="B292" s="6">
        <v>45596</v>
      </c>
      <c r="C292" s="7" t="s">
        <v>19</v>
      </c>
      <c r="D292" s="8" t="s">
        <v>30</v>
      </c>
      <c r="E292" s="7" t="s">
        <v>31</v>
      </c>
      <c r="F292" s="7" t="s">
        <v>11</v>
      </c>
      <c r="G292" s="62">
        <v>45</v>
      </c>
      <c r="H292" s="8" t="s">
        <v>12</v>
      </c>
    </row>
    <row r="293" spans="1:8" ht="17.399999999999999" hidden="1" customHeight="1" x14ac:dyDescent="0.3">
      <c r="A293" s="5">
        <v>2</v>
      </c>
      <c r="B293" s="6">
        <v>45596</v>
      </c>
      <c r="C293" s="7" t="s">
        <v>19</v>
      </c>
      <c r="D293" s="8" t="s">
        <v>35</v>
      </c>
      <c r="E293" s="7" t="s">
        <v>36</v>
      </c>
      <c r="F293" s="7" t="s">
        <v>11</v>
      </c>
      <c r="G293" s="62">
        <v>151.34</v>
      </c>
      <c r="H293" s="8" t="s">
        <v>12</v>
      </c>
    </row>
    <row r="294" spans="1:8" ht="17.399999999999999" hidden="1" customHeight="1" x14ac:dyDescent="0.3">
      <c r="A294" s="5">
        <v>2</v>
      </c>
      <c r="B294" s="6">
        <v>45596</v>
      </c>
      <c r="C294" s="7" t="s">
        <v>19</v>
      </c>
      <c r="D294" s="8" t="s">
        <v>39</v>
      </c>
      <c r="E294" s="7" t="s">
        <v>40</v>
      </c>
      <c r="F294" s="7" t="s">
        <v>11</v>
      </c>
      <c r="G294" s="62">
        <v>26.92</v>
      </c>
      <c r="H294" s="8" t="s">
        <v>12</v>
      </c>
    </row>
    <row r="295" spans="1:8" ht="17.399999999999999" hidden="1" customHeight="1" x14ac:dyDescent="0.3">
      <c r="A295" s="5">
        <v>2</v>
      </c>
      <c r="B295" s="6">
        <v>45596</v>
      </c>
      <c r="C295" s="7" t="s">
        <v>19</v>
      </c>
      <c r="D295" s="8" t="s">
        <v>44</v>
      </c>
      <c r="E295" s="7" t="s">
        <v>45</v>
      </c>
      <c r="F295" s="7" t="s">
        <v>11</v>
      </c>
      <c r="G295" s="62">
        <v>17.560000000000002</v>
      </c>
      <c r="H295" s="8" t="s">
        <v>12</v>
      </c>
    </row>
    <row r="296" spans="1:8" ht="17.399999999999999" hidden="1" customHeight="1" x14ac:dyDescent="0.3">
      <c r="A296" s="5">
        <v>2</v>
      </c>
      <c r="B296" s="6">
        <v>45596</v>
      </c>
      <c r="C296" s="7" t="s">
        <v>19</v>
      </c>
      <c r="D296" s="8" t="s">
        <v>47</v>
      </c>
      <c r="E296" s="7" t="s">
        <v>48</v>
      </c>
      <c r="F296" s="7" t="s">
        <v>11</v>
      </c>
      <c r="G296" s="62">
        <v>565.41000000000008</v>
      </c>
      <c r="H296" s="8" t="s">
        <v>12</v>
      </c>
    </row>
    <row r="297" spans="1:8" ht="17.399999999999999" hidden="1" customHeight="1" x14ac:dyDescent="0.3">
      <c r="A297" s="5">
        <v>2</v>
      </c>
      <c r="B297" s="6">
        <v>45595</v>
      </c>
      <c r="C297" s="7" t="s">
        <v>19</v>
      </c>
      <c r="D297" s="8" t="s">
        <v>37</v>
      </c>
      <c r="E297" s="7" t="s">
        <v>38</v>
      </c>
      <c r="F297" s="7" t="s">
        <v>33</v>
      </c>
      <c r="G297" s="64">
        <v>1023.8</v>
      </c>
      <c r="H297" s="8" t="s">
        <v>12</v>
      </c>
    </row>
    <row r="298" spans="1:8" ht="17.399999999999999" hidden="1" customHeight="1" x14ac:dyDescent="0.3">
      <c r="A298" s="5">
        <v>2</v>
      </c>
      <c r="B298" s="6">
        <v>45582</v>
      </c>
      <c r="C298" s="7" t="s">
        <v>8</v>
      </c>
      <c r="D298" s="8" t="s">
        <v>14</v>
      </c>
      <c r="E298" s="7" t="s">
        <v>10</v>
      </c>
      <c r="F298" s="7" t="s">
        <v>11</v>
      </c>
      <c r="G298" s="62">
        <v>298.95999999999998</v>
      </c>
      <c r="H298" s="8" t="s">
        <v>12</v>
      </c>
    </row>
    <row r="299" spans="1:8" ht="17.399999999999999" hidden="1" customHeight="1" x14ac:dyDescent="0.3">
      <c r="A299" s="5">
        <v>2</v>
      </c>
      <c r="B299" s="6">
        <v>45565</v>
      </c>
      <c r="C299" s="7" t="s">
        <v>19</v>
      </c>
      <c r="D299" s="8" t="s">
        <v>20</v>
      </c>
      <c r="E299" s="7" t="s">
        <v>21</v>
      </c>
      <c r="F299" s="7" t="s">
        <v>11</v>
      </c>
      <c r="G299" s="62">
        <v>18.93</v>
      </c>
      <c r="H299" s="8" t="s">
        <v>12</v>
      </c>
    </row>
    <row r="300" spans="1:8" ht="17.399999999999999" hidden="1" customHeight="1" x14ac:dyDescent="0.3">
      <c r="A300" s="5">
        <v>2</v>
      </c>
      <c r="B300" s="6">
        <v>45565</v>
      </c>
      <c r="C300" s="7" t="s">
        <v>19</v>
      </c>
      <c r="D300" s="8" t="s">
        <v>22</v>
      </c>
      <c r="E300" s="7" t="s">
        <v>23</v>
      </c>
      <c r="F300" s="7" t="s">
        <v>11</v>
      </c>
      <c r="G300" s="62">
        <v>69.989999999999995</v>
      </c>
      <c r="H300" s="8" t="s">
        <v>12</v>
      </c>
    </row>
    <row r="301" spans="1:8" ht="17.399999999999999" hidden="1" customHeight="1" x14ac:dyDescent="0.3">
      <c r="A301" s="5">
        <v>2</v>
      </c>
      <c r="B301" s="6">
        <v>45565</v>
      </c>
      <c r="C301" s="7" t="s">
        <v>19</v>
      </c>
      <c r="D301" s="8" t="s">
        <v>26</v>
      </c>
      <c r="E301" s="7" t="s">
        <v>27</v>
      </c>
      <c r="F301" s="7" t="s">
        <v>11</v>
      </c>
      <c r="G301" s="62">
        <v>177.23000000000002</v>
      </c>
      <c r="H301" s="8" t="s">
        <v>12</v>
      </c>
    </row>
    <row r="302" spans="1:8" ht="17.399999999999999" hidden="1" customHeight="1" x14ac:dyDescent="0.3">
      <c r="A302" s="5">
        <v>2</v>
      </c>
      <c r="B302" s="6">
        <v>45565</v>
      </c>
      <c r="C302" s="7" t="s">
        <v>19</v>
      </c>
      <c r="D302" s="8" t="s">
        <v>28</v>
      </c>
      <c r="E302" s="7" t="s">
        <v>29</v>
      </c>
      <c r="F302" s="7" t="s">
        <v>11</v>
      </c>
      <c r="G302" s="62">
        <v>274</v>
      </c>
      <c r="H302" s="8" t="s">
        <v>12</v>
      </c>
    </row>
    <row r="303" spans="1:8" ht="17.399999999999999" hidden="1" customHeight="1" x14ac:dyDescent="0.3">
      <c r="A303" s="5">
        <v>2</v>
      </c>
      <c r="B303" s="6">
        <v>45565</v>
      </c>
      <c r="C303" s="7" t="s">
        <v>19</v>
      </c>
      <c r="D303" s="8" t="s">
        <v>30</v>
      </c>
      <c r="E303" s="7" t="s">
        <v>31</v>
      </c>
      <c r="F303" s="7" t="s">
        <v>11</v>
      </c>
      <c r="G303" s="62">
        <v>91.06</v>
      </c>
      <c r="H303" s="8" t="s">
        <v>12</v>
      </c>
    </row>
    <row r="304" spans="1:8" ht="17.399999999999999" hidden="1" customHeight="1" x14ac:dyDescent="0.3">
      <c r="A304" s="5">
        <v>2</v>
      </c>
      <c r="B304" s="6">
        <v>45565</v>
      </c>
      <c r="C304" s="7" t="s">
        <v>19</v>
      </c>
      <c r="D304" s="8" t="s">
        <v>35</v>
      </c>
      <c r="E304" s="7" t="s">
        <v>36</v>
      </c>
      <c r="F304" s="7" t="s">
        <v>11</v>
      </c>
      <c r="G304" s="62">
        <v>172.09</v>
      </c>
      <c r="H304" s="8" t="s">
        <v>12</v>
      </c>
    </row>
    <row r="305" spans="1:8" ht="17.399999999999999" hidden="1" customHeight="1" x14ac:dyDescent="0.3">
      <c r="A305" s="5">
        <v>2</v>
      </c>
      <c r="B305" s="6">
        <v>45565</v>
      </c>
      <c r="C305" s="7" t="s">
        <v>19</v>
      </c>
      <c r="D305" s="8" t="s">
        <v>39</v>
      </c>
      <c r="E305" s="7" t="s">
        <v>40</v>
      </c>
      <c r="F305" s="7" t="s">
        <v>11</v>
      </c>
      <c r="G305" s="62">
        <v>72.47</v>
      </c>
      <c r="H305" s="8" t="s">
        <v>12</v>
      </c>
    </row>
    <row r="306" spans="1:8" ht="17.399999999999999" hidden="1" customHeight="1" x14ac:dyDescent="0.3">
      <c r="A306" s="5">
        <v>2</v>
      </c>
      <c r="B306" s="6">
        <v>45565</v>
      </c>
      <c r="C306" s="7" t="s">
        <v>19</v>
      </c>
      <c r="D306" s="8" t="s">
        <v>37</v>
      </c>
      <c r="E306" s="7" t="s">
        <v>38</v>
      </c>
      <c r="F306" s="7" t="s">
        <v>33</v>
      </c>
      <c r="G306" s="62">
        <v>1023.8</v>
      </c>
      <c r="H306" s="8" t="s">
        <v>12</v>
      </c>
    </row>
    <row r="307" spans="1:8" ht="17.399999999999999" hidden="1" customHeight="1" x14ac:dyDescent="0.3">
      <c r="A307" s="5">
        <v>2</v>
      </c>
      <c r="B307" s="6">
        <v>45565</v>
      </c>
      <c r="C307" s="7" t="s">
        <v>19</v>
      </c>
      <c r="D307" s="8" t="s">
        <v>44</v>
      </c>
      <c r="E307" s="7" t="s">
        <v>45</v>
      </c>
      <c r="F307" s="7" t="s">
        <v>11</v>
      </c>
      <c r="G307" s="62">
        <v>29.87</v>
      </c>
      <c r="H307" s="8" t="s">
        <v>12</v>
      </c>
    </row>
    <row r="308" spans="1:8" ht="17.399999999999999" hidden="1" customHeight="1" x14ac:dyDescent="0.3">
      <c r="A308" s="5">
        <v>2</v>
      </c>
      <c r="B308" s="6">
        <v>45565</v>
      </c>
      <c r="C308" s="7" t="s">
        <v>19</v>
      </c>
      <c r="D308" s="8" t="s">
        <v>47</v>
      </c>
      <c r="E308" s="7" t="s">
        <v>48</v>
      </c>
      <c r="F308" s="7" t="s">
        <v>11</v>
      </c>
      <c r="G308" s="62">
        <v>138.78</v>
      </c>
      <c r="H308" s="8" t="s">
        <v>12</v>
      </c>
    </row>
    <row r="309" spans="1:8" ht="17.399999999999999" hidden="1" customHeight="1" x14ac:dyDescent="0.3">
      <c r="A309" s="5">
        <v>2</v>
      </c>
      <c r="B309" s="6">
        <v>45561</v>
      </c>
      <c r="C309" s="7" t="s">
        <v>8</v>
      </c>
      <c r="D309" s="8" t="s">
        <v>32</v>
      </c>
      <c r="E309" s="7" t="s">
        <v>10</v>
      </c>
      <c r="F309" s="7" t="s">
        <v>33</v>
      </c>
      <c r="G309" s="62">
        <v>576.5</v>
      </c>
      <c r="H309" s="8" t="s">
        <v>12</v>
      </c>
    </row>
    <row r="310" spans="1:8" ht="17.399999999999999" hidden="1" customHeight="1" x14ac:dyDescent="0.3">
      <c r="A310" s="5">
        <v>2</v>
      </c>
      <c r="B310" s="6">
        <v>45542</v>
      </c>
      <c r="C310" s="7" t="s">
        <v>8</v>
      </c>
      <c r="D310" s="8" t="s">
        <v>32</v>
      </c>
      <c r="E310" s="7" t="s">
        <v>10</v>
      </c>
      <c r="F310" s="7" t="s">
        <v>33</v>
      </c>
      <c r="G310" s="62">
        <v>400</v>
      </c>
      <c r="H310" s="8" t="s">
        <v>12</v>
      </c>
    </row>
    <row r="311" spans="1:8" ht="17.399999999999999" hidden="1" customHeight="1" x14ac:dyDescent="0.3">
      <c r="A311" s="5">
        <v>2</v>
      </c>
      <c r="B311" s="6">
        <v>45537</v>
      </c>
      <c r="C311" s="7" t="s">
        <v>8</v>
      </c>
      <c r="D311" s="8" t="s">
        <v>32</v>
      </c>
      <c r="E311" s="7" t="s">
        <v>10</v>
      </c>
      <c r="F311" s="7" t="s">
        <v>33</v>
      </c>
      <c r="G311" s="62">
        <v>274</v>
      </c>
      <c r="H311" s="8" t="s">
        <v>12</v>
      </c>
    </row>
    <row r="312" spans="1:8" ht="17.399999999999999" hidden="1" customHeight="1" x14ac:dyDescent="0.3">
      <c r="A312" s="5">
        <v>2</v>
      </c>
      <c r="B312" s="6">
        <v>45535</v>
      </c>
      <c r="C312" s="7" t="s">
        <v>19</v>
      </c>
      <c r="D312" s="8" t="s">
        <v>20</v>
      </c>
      <c r="E312" s="7" t="s">
        <v>21</v>
      </c>
      <c r="F312" s="7" t="s">
        <v>11</v>
      </c>
      <c r="G312" s="62">
        <v>3.76</v>
      </c>
      <c r="H312" s="8" t="s">
        <v>12</v>
      </c>
    </row>
    <row r="313" spans="1:8" ht="17.399999999999999" hidden="1" customHeight="1" x14ac:dyDescent="0.3">
      <c r="A313" s="5">
        <v>2</v>
      </c>
      <c r="B313" s="6">
        <v>45535</v>
      </c>
      <c r="C313" s="7" t="s">
        <v>19</v>
      </c>
      <c r="D313" s="8" t="s">
        <v>22</v>
      </c>
      <c r="E313" s="7" t="s">
        <v>23</v>
      </c>
      <c r="F313" s="7" t="s">
        <v>11</v>
      </c>
      <c r="G313" s="62">
        <v>96.72</v>
      </c>
      <c r="H313" s="8" t="s">
        <v>12</v>
      </c>
    </row>
    <row r="314" spans="1:8" ht="17.399999999999999" hidden="1" customHeight="1" x14ac:dyDescent="0.3">
      <c r="A314" s="5">
        <v>2</v>
      </c>
      <c r="B314" s="6">
        <v>45535</v>
      </c>
      <c r="C314" s="7" t="s">
        <v>19</v>
      </c>
      <c r="D314" s="8" t="s">
        <v>26</v>
      </c>
      <c r="E314" s="7" t="s">
        <v>27</v>
      </c>
      <c r="F314" s="7" t="s">
        <v>11</v>
      </c>
      <c r="G314" s="62">
        <v>167.96</v>
      </c>
      <c r="H314" s="8" t="s">
        <v>12</v>
      </c>
    </row>
    <row r="315" spans="1:8" ht="17.399999999999999" hidden="1" customHeight="1" x14ac:dyDescent="0.3">
      <c r="A315" s="5">
        <v>2</v>
      </c>
      <c r="B315" s="6">
        <v>45535</v>
      </c>
      <c r="C315" s="7" t="s">
        <v>19</v>
      </c>
      <c r="D315" s="8" t="s">
        <v>28</v>
      </c>
      <c r="E315" s="7" t="s">
        <v>29</v>
      </c>
      <c r="F315" s="7" t="s">
        <v>11</v>
      </c>
      <c r="G315" s="62">
        <v>334.59999999999997</v>
      </c>
      <c r="H315" s="8" t="s">
        <v>12</v>
      </c>
    </row>
    <row r="316" spans="1:8" ht="17.399999999999999" hidden="1" customHeight="1" x14ac:dyDescent="0.3">
      <c r="A316" s="5">
        <v>2</v>
      </c>
      <c r="B316" s="6">
        <v>45535</v>
      </c>
      <c r="C316" s="7" t="s">
        <v>19</v>
      </c>
      <c r="D316" s="8" t="s">
        <v>30</v>
      </c>
      <c r="E316" s="7" t="s">
        <v>31</v>
      </c>
      <c r="F316" s="7" t="s">
        <v>11</v>
      </c>
      <c r="G316" s="62">
        <v>66</v>
      </c>
      <c r="H316" s="8" t="s">
        <v>12</v>
      </c>
    </row>
    <row r="317" spans="1:8" ht="17.399999999999999" hidden="1" customHeight="1" x14ac:dyDescent="0.3">
      <c r="A317" s="5">
        <v>2</v>
      </c>
      <c r="B317" s="6">
        <v>45535</v>
      </c>
      <c r="C317" s="7" t="s">
        <v>19</v>
      </c>
      <c r="D317" s="8" t="s">
        <v>35</v>
      </c>
      <c r="E317" s="7" t="s">
        <v>36</v>
      </c>
      <c r="F317" s="7" t="s">
        <v>11</v>
      </c>
      <c r="G317" s="62">
        <v>179.18</v>
      </c>
      <c r="H317" s="8" t="s">
        <v>12</v>
      </c>
    </row>
    <row r="318" spans="1:8" ht="17.399999999999999" hidden="1" customHeight="1" x14ac:dyDescent="0.3">
      <c r="A318" s="5">
        <v>2</v>
      </c>
      <c r="B318" s="6">
        <v>45535</v>
      </c>
      <c r="C318" s="7" t="s">
        <v>19</v>
      </c>
      <c r="D318" s="8" t="s">
        <v>39</v>
      </c>
      <c r="E318" s="7" t="s">
        <v>40</v>
      </c>
      <c r="F318" s="7" t="s">
        <v>11</v>
      </c>
      <c r="G318" s="62">
        <v>28.869999999999997</v>
      </c>
      <c r="H318" s="8" t="s">
        <v>12</v>
      </c>
    </row>
    <row r="319" spans="1:8" ht="17.399999999999999" hidden="1" customHeight="1" x14ac:dyDescent="0.3">
      <c r="A319" s="5">
        <v>2</v>
      </c>
      <c r="B319" s="6">
        <v>45535</v>
      </c>
      <c r="C319" s="7" t="s">
        <v>19</v>
      </c>
      <c r="D319" s="8" t="s">
        <v>41</v>
      </c>
      <c r="E319" s="7" t="s">
        <v>42</v>
      </c>
      <c r="F319" s="7" t="s">
        <v>11</v>
      </c>
      <c r="G319" s="62">
        <v>22.11</v>
      </c>
      <c r="H319" s="8" t="s">
        <v>12</v>
      </c>
    </row>
    <row r="320" spans="1:8" ht="17.399999999999999" hidden="1" customHeight="1" x14ac:dyDescent="0.3">
      <c r="A320" s="5">
        <v>2</v>
      </c>
      <c r="B320" s="6">
        <v>45535</v>
      </c>
      <c r="C320" s="7" t="s">
        <v>19</v>
      </c>
      <c r="D320" s="8" t="s">
        <v>47</v>
      </c>
      <c r="E320" s="7" t="s">
        <v>48</v>
      </c>
      <c r="F320" s="7" t="s">
        <v>11</v>
      </c>
      <c r="G320" s="62">
        <v>136.65</v>
      </c>
      <c r="H320" s="8" t="s">
        <v>12</v>
      </c>
    </row>
    <row r="321" spans="1:8" ht="17.399999999999999" hidden="1" customHeight="1" x14ac:dyDescent="0.3">
      <c r="A321" s="5">
        <v>2</v>
      </c>
      <c r="B321" s="6">
        <v>45534</v>
      </c>
      <c r="C321" s="7" t="s">
        <v>8</v>
      </c>
      <c r="D321" s="8" t="s">
        <v>32</v>
      </c>
      <c r="E321" s="7" t="s">
        <v>10</v>
      </c>
      <c r="F321" s="7" t="s">
        <v>33</v>
      </c>
      <c r="G321" s="62">
        <v>236.85</v>
      </c>
      <c r="H321" s="8" t="s">
        <v>12</v>
      </c>
    </row>
    <row r="322" spans="1:8" ht="17.399999999999999" hidden="1" customHeight="1" x14ac:dyDescent="0.3">
      <c r="A322" s="5">
        <v>2</v>
      </c>
      <c r="B322" s="6">
        <v>45533</v>
      </c>
      <c r="C322" s="7" t="s">
        <v>8</v>
      </c>
      <c r="D322" s="8" t="s">
        <v>32</v>
      </c>
      <c r="E322" s="7" t="s">
        <v>10</v>
      </c>
      <c r="F322" s="7" t="s">
        <v>33</v>
      </c>
      <c r="G322" s="62">
        <v>70</v>
      </c>
      <c r="H322" s="8" t="s">
        <v>12</v>
      </c>
    </row>
    <row r="323" spans="1:8" ht="17.399999999999999" hidden="1" customHeight="1" x14ac:dyDescent="0.3">
      <c r="A323" s="5">
        <v>2</v>
      </c>
      <c r="B323" s="6">
        <v>45530</v>
      </c>
      <c r="C323" s="7" t="s">
        <v>8</v>
      </c>
      <c r="D323" s="8" t="s">
        <v>32</v>
      </c>
      <c r="E323" s="7" t="s">
        <v>10</v>
      </c>
      <c r="F323" s="7" t="s">
        <v>33</v>
      </c>
      <c r="G323" s="62">
        <v>42.75</v>
      </c>
      <c r="H323" s="8" t="s">
        <v>12</v>
      </c>
    </row>
    <row r="324" spans="1:8" ht="17.399999999999999" hidden="1" customHeight="1" x14ac:dyDescent="0.3">
      <c r="A324" s="5">
        <v>2</v>
      </c>
      <c r="B324" s="6">
        <v>45508</v>
      </c>
      <c r="C324" s="7" t="s">
        <v>8</v>
      </c>
      <c r="D324" s="8" t="s">
        <v>43</v>
      </c>
      <c r="E324" s="7" t="s">
        <v>10</v>
      </c>
      <c r="F324" s="7" t="s">
        <v>11</v>
      </c>
      <c r="G324" s="62">
        <v>300</v>
      </c>
      <c r="H324" s="8" t="s">
        <v>12</v>
      </c>
    </row>
    <row r="325" spans="1:8" ht="17.399999999999999" hidden="1" customHeight="1" x14ac:dyDescent="0.3">
      <c r="A325" s="5">
        <v>2</v>
      </c>
      <c r="B325" s="6">
        <v>45504</v>
      </c>
      <c r="C325" s="7" t="s">
        <v>19</v>
      </c>
      <c r="D325" s="8" t="s">
        <v>20</v>
      </c>
      <c r="E325" s="7" t="s">
        <v>21</v>
      </c>
      <c r="F325" s="7" t="s">
        <v>11</v>
      </c>
      <c r="G325" s="62">
        <v>15.950000000000001</v>
      </c>
      <c r="H325" s="8" t="s">
        <v>12</v>
      </c>
    </row>
    <row r="326" spans="1:8" ht="17.399999999999999" hidden="1" customHeight="1" x14ac:dyDescent="0.3">
      <c r="A326" s="5">
        <v>2</v>
      </c>
      <c r="B326" s="6">
        <v>45504</v>
      </c>
      <c r="C326" s="7" t="s">
        <v>19</v>
      </c>
      <c r="D326" s="8" t="s">
        <v>22</v>
      </c>
      <c r="E326" s="7" t="s">
        <v>23</v>
      </c>
      <c r="F326" s="7" t="s">
        <v>11</v>
      </c>
      <c r="G326" s="62">
        <v>39.93</v>
      </c>
      <c r="H326" s="8" t="s">
        <v>12</v>
      </c>
    </row>
    <row r="327" spans="1:8" ht="17.399999999999999" hidden="1" customHeight="1" x14ac:dyDescent="0.3">
      <c r="A327" s="5">
        <v>2</v>
      </c>
      <c r="B327" s="6">
        <v>45504</v>
      </c>
      <c r="C327" s="7" t="s">
        <v>19</v>
      </c>
      <c r="D327" s="8" t="s">
        <v>26</v>
      </c>
      <c r="E327" s="7" t="s">
        <v>27</v>
      </c>
      <c r="F327" s="7" t="s">
        <v>11</v>
      </c>
      <c r="G327" s="62">
        <v>146.97999999999999</v>
      </c>
      <c r="H327" s="8" t="s">
        <v>12</v>
      </c>
    </row>
    <row r="328" spans="1:8" ht="17.399999999999999" hidden="1" customHeight="1" x14ac:dyDescent="0.3">
      <c r="A328" s="5">
        <v>2</v>
      </c>
      <c r="B328" s="6">
        <v>45504</v>
      </c>
      <c r="C328" s="7" t="s">
        <v>19</v>
      </c>
      <c r="D328" s="8" t="s">
        <v>28</v>
      </c>
      <c r="E328" s="7" t="s">
        <v>29</v>
      </c>
      <c r="F328" s="7" t="s">
        <v>11</v>
      </c>
      <c r="G328" s="62">
        <v>286.69</v>
      </c>
      <c r="H328" s="8" t="s">
        <v>12</v>
      </c>
    </row>
    <row r="329" spans="1:8" ht="17.399999999999999" hidden="1" customHeight="1" x14ac:dyDescent="0.3">
      <c r="A329" s="5">
        <v>2</v>
      </c>
      <c r="B329" s="6">
        <v>45504</v>
      </c>
      <c r="C329" s="7" t="s">
        <v>19</v>
      </c>
      <c r="D329" s="8" t="s">
        <v>30</v>
      </c>
      <c r="E329" s="7" t="s">
        <v>31</v>
      </c>
      <c r="F329" s="7" t="s">
        <v>11</v>
      </c>
      <c r="G329" s="62">
        <v>50</v>
      </c>
      <c r="H329" s="8" t="s">
        <v>12</v>
      </c>
    </row>
    <row r="330" spans="1:8" ht="17.399999999999999" hidden="1" customHeight="1" x14ac:dyDescent="0.3">
      <c r="A330" s="5">
        <v>2</v>
      </c>
      <c r="B330" s="6">
        <v>45504</v>
      </c>
      <c r="C330" s="7" t="s">
        <v>19</v>
      </c>
      <c r="D330" s="8" t="s">
        <v>35</v>
      </c>
      <c r="E330" s="7" t="s">
        <v>36</v>
      </c>
      <c r="F330" s="7" t="s">
        <v>11</v>
      </c>
      <c r="G330" s="62">
        <v>36.75</v>
      </c>
      <c r="H330" s="8" t="s">
        <v>12</v>
      </c>
    </row>
    <row r="331" spans="1:8" ht="17.399999999999999" hidden="1" customHeight="1" x14ac:dyDescent="0.3">
      <c r="A331" s="5">
        <v>2</v>
      </c>
      <c r="B331" s="6">
        <v>45504</v>
      </c>
      <c r="C331" s="7" t="s">
        <v>19</v>
      </c>
      <c r="D331" s="8" t="s">
        <v>39</v>
      </c>
      <c r="E331" s="7" t="s">
        <v>40</v>
      </c>
      <c r="F331" s="7" t="s">
        <v>11</v>
      </c>
      <c r="G331" s="62">
        <v>267.67</v>
      </c>
      <c r="H331" s="8" t="s">
        <v>12</v>
      </c>
    </row>
    <row r="332" spans="1:8" ht="17.399999999999999" hidden="1" customHeight="1" x14ac:dyDescent="0.3">
      <c r="A332" s="5">
        <v>2</v>
      </c>
      <c r="B332" s="6">
        <v>45504</v>
      </c>
      <c r="C332" s="7" t="s">
        <v>19</v>
      </c>
      <c r="D332" s="8" t="s">
        <v>41</v>
      </c>
      <c r="E332" s="7" t="s">
        <v>42</v>
      </c>
      <c r="F332" s="7" t="s">
        <v>11</v>
      </c>
      <c r="G332" s="62">
        <v>41.910000000000004</v>
      </c>
      <c r="H332" s="8" t="s">
        <v>12</v>
      </c>
    </row>
    <row r="333" spans="1:8" ht="17.399999999999999" hidden="1" customHeight="1" x14ac:dyDescent="0.3">
      <c r="A333" s="5">
        <v>2</v>
      </c>
      <c r="B333" s="6">
        <v>45504</v>
      </c>
      <c r="C333" s="7" t="s">
        <v>19</v>
      </c>
      <c r="D333" s="8" t="s">
        <v>47</v>
      </c>
      <c r="E333" s="7" t="s">
        <v>48</v>
      </c>
      <c r="F333" s="7" t="s">
        <v>11</v>
      </c>
      <c r="G333" s="62">
        <v>22.75</v>
      </c>
      <c r="H333" s="8" t="s">
        <v>12</v>
      </c>
    </row>
    <row r="334" spans="1:8" ht="17.399999999999999" hidden="1" customHeight="1" x14ac:dyDescent="0.3">
      <c r="A334" s="5">
        <v>2</v>
      </c>
      <c r="B334" s="6">
        <v>45503</v>
      </c>
      <c r="C334" s="7" t="s">
        <v>8</v>
      </c>
      <c r="D334" s="8" t="s">
        <v>32</v>
      </c>
      <c r="E334" s="7" t="s">
        <v>10</v>
      </c>
      <c r="F334" s="7" t="s">
        <v>33</v>
      </c>
      <c r="G334" s="62">
        <v>678.98</v>
      </c>
      <c r="H334" s="8" t="s">
        <v>12</v>
      </c>
    </row>
    <row r="335" spans="1:8" ht="17.399999999999999" hidden="1" customHeight="1" x14ac:dyDescent="0.3">
      <c r="A335" s="5">
        <v>2</v>
      </c>
      <c r="B335" s="6">
        <v>45499</v>
      </c>
      <c r="C335" s="7" t="s">
        <v>8</v>
      </c>
      <c r="D335" s="8" t="s">
        <v>32</v>
      </c>
      <c r="E335" s="7" t="s">
        <v>10</v>
      </c>
      <c r="F335" s="7" t="s">
        <v>33</v>
      </c>
      <c r="G335" s="62">
        <v>479.53</v>
      </c>
      <c r="H335" s="8" t="s">
        <v>12</v>
      </c>
    </row>
    <row r="336" spans="1:8" ht="17.399999999999999" hidden="1" customHeight="1" x14ac:dyDescent="0.3">
      <c r="A336" s="5">
        <v>2</v>
      </c>
      <c r="B336" s="6">
        <v>45496</v>
      </c>
      <c r="C336" s="7" t="s">
        <v>8</v>
      </c>
      <c r="D336" s="8" t="s">
        <v>49</v>
      </c>
      <c r="E336" s="7" t="s">
        <v>10</v>
      </c>
      <c r="F336" s="7" t="s">
        <v>11</v>
      </c>
      <c r="G336" s="62">
        <v>100</v>
      </c>
      <c r="H336" s="8" t="s">
        <v>12</v>
      </c>
    </row>
    <row r="337" spans="1:8" ht="17.399999999999999" hidden="1" customHeight="1" x14ac:dyDescent="0.3">
      <c r="A337" s="5">
        <v>2</v>
      </c>
      <c r="B337" s="6">
        <v>45476</v>
      </c>
      <c r="C337" s="7" t="s">
        <v>8</v>
      </c>
      <c r="D337" s="8" t="s">
        <v>32</v>
      </c>
      <c r="E337" s="7" t="s">
        <v>10</v>
      </c>
      <c r="F337" s="7" t="s">
        <v>33</v>
      </c>
      <c r="G337" s="62">
        <v>40</v>
      </c>
      <c r="H337" s="8" t="s">
        <v>12</v>
      </c>
    </row>
    <row r="338" spans="1:8" ht="17.399999999999999" hidden="1" customHeight="1" x14ac:dyDescent="0.3">
      <c r="A338" s="5">
        <v>2</v>
      </c>
      <c r="B338" s="6">
        <v>45472</v>
      </c>
      <c r="C338" s="7" t="s">
        <v>8</v>
      </c>
      <c r="D338" s="8" t="s">
        <v>32</v>
      </c>
      <c r="E338" s="7" t="s">
        <v>10</v>
      </c>
      <c r="F338" s="7" t="s">
        <v>33</v>
      </c>
      <c r="G338" s="62">
        <v>98.4</v>
      </c>
      <c r="H338" s="8" t="s">
        <v>12</v>
      </c>
    </row>
    <row r="339" spans="1:8" ht="17.399999999999999" hidden="1" customHeight="1" x14ac:dyDescent="0.3">
      <c r="A339" s="5">
        <v>2</v>
      </c>
      <c r="B339" s="6">
        <v>45468</v>
      </c>
      <c r="C339" s="7" t="s">
        <v>8</v>
      </c>
      <c r="D339" s="8" t="s">
        <v>32</v>
      </c>
      <c r="E339" s="7" t="s">
        <v>10</v>
      </c>
      <c r="F339" s="7" t="s">
        <v>33</v>
      </c>
      <c r="G339" s="62">
        <v>127.21</v>
      </c>
      <c r="H339" s="8" t="s">
        <v>12</v>
      </c>
    </row>
    <row r="340" spans="1:8" ht="17.399999999999999" hidden="1" customHeight="1" x14ac:dyDescent="0.3">
      <c r="A340" s="5">
        <v>2</v>
      </c>
      <c r="B340" s="6">
        <v>45462</v>
      </c>
      <c r="C340" s="7" t="s">
        <v>8</v>
      </c>
      <c r="D340" s="8" t="s">
        <v>32</v>
      </c>
      <c r="E340" s="7" t="s">
        <v>10</v>
      </c>
      <c r="F340" s="7" t="s">
        <v>33</v>
      </c>
      <c r="G340" s="62">
        <v>168.64</v>
      </c>
      <c r="H340" s="8" t="s">
        <v>12</v>
      </c>
    </row>
    <row r="341" spans="1:8" ht="17.399999999999999" hidden="1" customHeight="1" x14ac:dyDescent="0.3">
      <c r="A341" s="5">
        <v>2</v>
      </c>
      <c r="B341" s="6">
        <v>45460</v>
      </c>
      <c r="C341" s="7" t="s">
        <v>8</v>
      </c>
      <c r="D341" s="8" t="s">
        <v>32</v>
      </c>
      <c r="E341" s="7" t="s">
        <v>10</v>
      </c>
      <c r="F341" s="7" t="s">
        <v>33</v>
      </c>
      <c r="G341" s="62">
        <v>168.91</v>
      </c>
      <c r="H341" s="8" t="s">
        <v>12</v>
      </c>
    </row>
    <row r="342" spans="1:8" ht="17.399999999999999" hidden="1" customHeight="1" x14ac:dyDescent="0.3">
      <c r="A342" s="5">
        <v>2</v>
      </c>
      <c r="B342" s="6">
        <v>45459</v>
      </c>
      <c r="C342" s="7" t="s">
        <v>8</v>
      </c>
      <c r="D342" s="8" t="s">
        <v>32</v>
      </c>
      <c r="E342" s="7" t="s">
        <v>10</v>
      </c>
      <c r="F342" s="7" t="s">
        <v>33</v>
      </c>
      <c r="G342" s="62">
        <v>170.79</v>
      </c>
      <c r="H342" s="8" t="s">
        <v>12</v>
      </c>
    </row>
    <row r="343" spans="1:8" ht="17.399999999999999" hidden="1" customHeight="1" x14ac:dyDescent="0.3">
      <c r="A343" s="5">
        <v>2</v>
      </c>
      <c r="B343" s="6">
        <v>45458</v>
      </c>
      <c r="C343" s="7" t="s">
        <v>8</v>
      </c>
      <c r="D343" s="8" t="s">
        <v>43</v>
      </c>
      <c r="E343" s="7" t="s">
        <v>10</v>
      </c>
      <c r="F343" s="7" t="s">
        <v>11</v>
      </c>
      <c r="G343" s="62">
        <v>303.49</v>
      </c>
      <c r="H343" s="8" t="s">
        <v>12</v>
      </c>
    </row>
    <row r="344" spans="1:8" ht="17.399999999999999" hidden="1" customHeight="1" x14ac:dyDescent="0.3">
      <c r="A344" s="5">
        <v>2</v>
      </c>
      <c r="B344" s="6">
        <v>45454</v>
      </c>
      <c r="C344" s="7" t="s">
        <v>8</v>
      </c>
      <c r="D344" s="8" t="s">
        <v>32</v>
      </c>
      <c r="E344" s="7" t="s">
        <v>10</v>
      </c>
      <c r="F344" s="7" t="s">
        <v>33</v>
      </c>
      <c r="G344" s="62">
        <v>343.05</v>
      </c>
      <c r="H344" s="8" t="s">
        <v>12</v>
      </c>
    </row>
    <row r="345" spans="1:8" ht="17.399999999999999" hidden="1" customHeight="1" x14ac:dyDescent="0.3">
      <c r="A345" s="5">
        <v>2</v>
      </c>
      <c r="B345" s="6">
        <v>45450</v>
      </c>
      <c r="C345" s="7" t="s">
        <v>8</v>
      </c>
      <c r="D345" s="8" t="s">
        <v>32</v>
      </c>
      <c r="E345" s="7" t="s">
        <v>10</v>
      </c>
      <c r="F345" s="7" t="s">
        <v>33</v>
      </c>
      <c r="G345" s="62">
        <v>340.23</v>
      </c>
      <c r="H345" s="8" t="s">
        <v>12</v>
      </c>
    </row>
    <row r="346" spans="1:8" ht="17.399999999999999" hidden="1" customHeight="1" x14ac:dyDescent="0.3">
      <c r="A346" s="5">
        <v>2</v>
      </c>
      <c r="B346" s="6">
        <v>45425</v>
      </c>
      <c r="C346" s="7" t="s">
        <v>8</v>
      </c>
      <c r="D346" s="8" t="s">
        <v>9</v>
      </c>
      <c r="E346" s="7" t="s">
        <v>10</v>
      </c>
      <c r="F346" s="7" t="s">
        <v>11</v>
      </c>
      <c r="G346" s="62">
        <v>822</v>
      </c>
      <c r="H346" s="8" t="s">
        <v>12</v>
      </c>
    </row>
    <row r="347" spans="1:8" ht="17.399999999999999" hidden="1" customHeight="1" x14ac:dyDescent="0.3">
      <c r="A347" s="5">
        <v>2</v>
      </c>
      <c r="B347" s="6">
        <v>45419</v>
      </c>
      <c r="C347" s="7" t="s">
        <v>8</v>
      </c>
      <c r="D347" s="8" t="s">
        <v>32</v>
      </c>
      <c r="E347" s="7" t="s">
        <v>10</v>
      </c>
      <c r="F347" s="7" t="s">
        <v>33</v>
      </c>
      <c r="G347" s="62">
        <v>530.36</v>
      </c>
      <c r="H347" s="8" t="s">
        <v>12</v>
      </c>
    </row>
    <row r="348" spans="1:8" ht="17.399999999999999" hidden="1" customHeight="1" x14ac:dyDescent="0.3">
      <c r="A348" s="5">
        <v>2</v>
      </c>
      <c r="B348" s="6">
        <v>45418</v>
      </c>
      <c r="C348" s="7" t="s">
        <v>8</v>
      </c>
      <c r="D348" s="8" t="s">
        <v>32</v>
      </c>
      <c r="E348" s="7" t="s">
        <v>10</v>
      </c>
      <c r="F348" s="7" t="s">
        <v>33</v>
      </c>
      <c r="G348" s="62">
        <v>360.94</v>
      </c>
      <c r="H348" s="8" t="s">
        <v>12</v>
      </c>
    </row>
    <row r="349" spans="1:8" ht="17.399999999999999" hidden="1" customHeight="1" x14ac:dyDescent="0.3">
      <c r="A349" s="5">
        <v>2</v>
      </c>
      <c r="B349" s="6">
        <v>45402</v>
      </c>
      <c r="C349" s="7" t="s">
        <v>8</v>
      </c>
      <c r="D349" s="8" t="s">
        <v>32</v>
      </c>
      <c r="E349" s="7" t="s">
        <v>10</v>
      </c>
      <c r="F349" s="7" t="s">
        <v>33</v>
      </c>
      <c r="G349" s="62">
        <v>58.48</v>
      </c>
      <c r="H349" s="8" t="s">
        <v>12</v>
      </c>
    </row>
    <row r="350" spans="1:8" ht="17.399999999999999" hidden="1" customHeight="1" x14ac:dyDescent="0.3">
      <c r="A350" s="5">
        <v>2</v>
      </c>
      <c r="B350" s="6">
        <v>45402</v>
      </c>
      <c r="C350" s="7" t="s">
        <v>8</v>
      </c>
      <c r="D350" s="8" t="s">
        <v>46</v>
      </c>
      <c r="E350" s="7" t="s">
        <v>10</v>
      </c>
      <c r="F350" s="7" t="s">
        <v>11</v>
      </c>
      <c r="G350" s="62">
        <v>54.9</v>
      </c>
      <c r="H350" s="8" t="s">
        <v>12</v>
      </c>
    </row>
    <row r="351" spans="1:8" ht="17.399999999999999" hidden="1" customHeight="1" x14ac:dyDescent="0.3">
      <c r="A351" s="12"/>
      <c r="B351" s="21"/>
      <c r="C351" s="7"/>
      <c r="D351" s="7"/>
      <c r="E351" s="7"/>
      <c r="F351" s="7"/>
      <c r="G351" s="63"/>
      <c r="H351" s="8"/>
    </row>
    <row r="352" spans="1:8" ht="17.399999999999999" customHeight="1" x14ac:dyDescent="0.3"/>
    <row r="353" ht="17.399999999999999" customHeight="1" x14ac:dyDescent="0.3"/>
    <row r="354" ht="17.399999999999999" customHeight="1" x14ac:dyDescent="0.3"/>
    <row r="355" ht="17.399999999999999" customHeight="1" x14ac:dyDescent="0.3"/>
    <row r="356" ht="17.399999999999999" customHeight="1" x14ac:dyDescent="0.3"/>
    <row r="357" ht="17.399999999999999" customHeight="1" x14ac:dyDescent="0.3"/>
    <row r="358" ht="17.399999999999999" customHeight="1" x14ac:dyDescent="0.3"/>
    <row r="359" ht="17.399999999999999" customHeight="1" x14ac:dyDescent="0.3"/>
    <row r="360" ht="17.399999999999999" customHeight="1" x14ac:dyDescent="0.3"/>
    <row r="361" ht="17.399999999999999" customHeight="1" x14ac:dyDescent="0.3"/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O183"/>
  <sheetViews>
    <sheetView workbookViewId="0">
      <selection activeCell="L144" sqref="L144"/>
    </sheetView>
  </sheetViews>
  <sheetFormatPr defaultRowHeight="14.4" x14ac:dyDescent="0.3"/>
  <cols>
    <col min="1" max="1" width="9.33203125" style="17" bestFit="1" customWidth="1"/>
    <col min="2" max="2" width="10.5546875" style="18" bestFit="1" customWidth="1"/>
    <col min="3" max="3" width="9.6640625" style="19" bestFit="1" customWidth="1"/>
    <col min="4" max="4" width="26.109375" style="19" customWidth="1"/>
    <col min="5" max="5" width="15.33203125" style="19" bestFit="1" customWidth="1"/>
    <col min="6" max="6" width="9.5546875" style="19" bestFit="1" customWidth="1"/>
    <col min="7" max="7" width="12.33203125" style="29" bestFit="1" customWidth="1"/>
    <col min="8" max="8" width="13.6640625" style="19" bestFit="1" customWidth="1"/>
    <col min="9" max="10" width="8.88671875" bestFit="1" customWidth="1"/>
    <col min="11" max="11" width="12.88671875" style="4" bestFit="1" customWidth="1"/>
    <col min="12" max="12" width="11.6640625" bestFit="1" customWidth="1"/>
    <col min="13" max="13" width="10.6640625" bestFit="1" customWidth="1"/>
    <col min="14" max="14" width="8.88671875" bestFit="1" customWidth="1"/>
    <col min="15" max="15" width="10.6640625" bestFit="1" customWidth="1"/>
  </cols>
  <sheetData>
    <row r="1" spans="1:13" ht="18.75" customHeight="1" x14ac:dyDescent="0.3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24" t="s">
        <v>6</v>
      </c>
      <c r="H1" s="3" t="s">
        <v>7</v>
      </c>
    </row>
    <row r="2" spans="1:13" ht="18.75" customHeight="1" x14ac:dyDescent="0.3">
      <c r="A2" s="5">
        <v>1</v>
      </c>
      <c r="B2" s="6">
        <v>45402</v>
      </c>
      <c r="C2" s="7" t="s">
        <v>8</v>
      </c>
      <c r="D2" s="8" t="s">
        <v>32</v>
      </c>
      <c r="E2" s="7" t="s">
        <v>10</v>
      </c>
      <c r="F2" s="7" t="s">
        <v>33</v>
      </c>
      <c r="G2" s="25">
        <v>58.48</v>
      </c>
      <c r="H2" s="8" t="s">
        <v>12</v>
      </c>
      <c r="J2" t="s">
        <v>13</v>
      </c>
      <c r="K2" s="60">
        <f>SUMIF(F2:F183,"Income",G2:G183)</f>
        <v>19051.819999999996</v>
      </c>
      <c r="L2" s="9"/>
    </row>
    <row r="3" spans="1:13" ht="18.75" customHeight="1" x14ac:dyDescent="0.3">
      <c r="A3" s="5">
        <v>1</v>
      </c>
      <c r="B3" s="6">
        <v>45402</v>
      </c>
      <c r="C3" s="7" t="s">
        <v>8</v>
      </c>
      <c r="D3" s="8" t="s">
        <v>46</v>
      </c>
      <c r="E3" s="7" t="s">
        <v>10</v>
      </c>
      <c r="F3" s="7" t="s">
        <v>11</v>
      </c>
      <c r="G3" s="25">
        <v>54.9</v>
      </c>
      <c r="H3" s="8" t="s">
        <v>12</v>
      </c>
      <c r="J3" t="s">
        <v>15</v>
      </c>
      <c r="K3" s="60">
        <f>SUMIF(F2:F183,"Expense",G2:G183)</f>
        <v>18511.390000000007</v>
      </c>
      <c r="L3" s="9"/>
    </row>
    <row r="4" spans="1:13" ht="18.75" customHeight="1" x14ac:dyDescent="0.3">
      <c r="A4" s="5">
        <v>1</v>
      </c>
      <c r="B4" s="6">
        <v>45418</v>
      </c>
      <c r="C4" s="7" t="s">
        <v>8</v>
      </c>
      <c r="D4" s="8" t="s">
        <v>32</v>
      </c>
      <c r="E4" s="7" t="s">
        <v>10</v>
      </c>
      <c r="F4" s="7" t="s">
        <v>33</v>
      </c>
      <c r="G4" s="25">
        <v>360.94</v>
      </c>
      <c r="H4" s="8" t="s">
        <v>12</v>
      </c>
      <c r="K4" s="61"/>
      <c r="L4" s="9"/>
    </row>
    <row r="5" spans="1:13" ht="18.75" customHeight="1" x14ac:dyDescent="0.3">
      <c r="A5" s="5">
        <v>1</v>
      </c>
      <c r="B5" s="6">
        <v>45419</v>
      </c>
      <c r="C5" s="7" t="s">
        <v>8</v>
      </c>
      <c r="D5" s="8" t="s">
        <v>32</v>
      </c>
      <c r="E5" s="7" t="s">
        <v>10</v>
      </c>
      <c r="F5" s="7" t="s">
        <v>33</v>
      </c>
      <c r="G5" s="25">
        <v>530.36</v>
      </c>
      <c r="H5" s="8" t="s">
        <v>12</v>
      </c>
      <c r="J5" t="s">
        <v>18</v>
      </c>
      <c r="K5" s="60">
        <f>K2-K3</f>
        <v>540.42999999998938</v>
      </c>
      <c r="L5" s="9"/>
    </row>
    <row r="6" spans="1:13" ht="18.75" customHeight="1" x14ac:dyDescent="0.3">
      <c r="A6" s="5">
        <v>1</v>
      </c>
      <c r="B6" s="6">
        <v>45425</v>
      </c>
      <c r="C6" s="7" t="s">
        <v>8</v>
      </c>
      <c r="D6" s="8" t="s">
        <v>9</v>
      </c>
      <c r="E6" s="7" t="s">
        <v>10</v>
      </c>
      <c r="F6" s="7" t="s">
        <v>11</v>
      </c>
      <c r="G6" s="25">
        <v>822</v>
      </c>
      <c r="H6" s="8" t="s">
        <v>12</v>
      </c>
      <c r="K6" s="10"/>
      <c r="L6" s="9"/>
    </row>
    <row r="7" spans="1:13" ht="18.75" customHeight="1" x14ac:dyDescent="0.3">
      <c r="A7" s="5">
        <v>1</v>
      </c>
      <c r="B7" s="6">
        <v>45450</v>
      </c>
      <c r="C7" s="7" t="s">
        <v>8</v>
      </c>
      <c r="D7" s="8" t="s">
        <v>32</v>
      </c>
      <c r="E7" s="7" t="s">
        <v>10</v>
      </c>
      <c r="F7" s="7" t="s">
        <v>33</v>
      </c>
      <c r="G7" s="25">
        <v>340.23</v>
      </c>
      <c r="H7" s="8" t="s">
        <v>12</v>
      </c>
      <c r="K7" s="10"/>
      <c r="L7" s="9"/>
    </row>
    <row r="8" spans="1:13" ht="18.75" customHeight="1" x14ac:dyDescent="0.3">
      <c r="A8" s="5">
        <v>1</v>
      </c>
      <c r="B8" s="6">
        <v>45454</v>
      </c>
      <c r="C8" s="7" t="s">
        <v>8</v>
      </c>
      <c r="D8" s="8" t="s">
        <v>32</v>
      </c>
      <c r="E8" s="7" t="s">
        <v>10</v>
      </c>
      <c r="F8" s="7" t="s">
        <v>33</v>
      </c>
      <c r="G8" s="25">
        <v>343.05</v>
      </c>
      <c r="H8" s="8" t="s">
        <v>12</v>
      </c>
      <c r="K8" s="10"/>
      <c r="L8" s="9"/>
    </row>
    <row r="9" spans="1:13" ht="18.75" customHeight="1" x14ac:dyDescent="0.3">
      <c r="A9" s="5">
        <v>1</v>
      </c>
      <c r="B9" s="6">
        <v>45458</v>
      </c>
      <c r="C9" s="7" t="s">
        <v>8</v>
      </c>
      <c r="D9" s="8" t="s">
        <v>43</v>
      </c>
      <c r="E9" s="7" t="s">
        <v>10</v>
      </c>
      <c r="F9" s="7" t="s">
        <v>11</v>
      </c>
      <c r="G9" s="25">
        <v>303.49</v>
      </c>
      <c r="H9" s="8" t="s">
        <v>12</v>
      </c>
      <c r="K9" s="10"/>
      <c r="L9" s="9"/>
    </row>
    <row r="10" spans="1:13" ht="18.75" customHeight="1" x14ac:dyDescent="0.3">
      <c r="A10" s="5">
        <v>1</v>
      </c>
      <c r="B10" s="6">
        <v>45459</v>
      </c>
      <c r="C10" s="7" t="s">
        <v>8</v>
      </c>
      <c r="D10" s="8" t="s">
        <v>32</v>
      </c>
      <c r="E10" s="7" t="s">
        <v>10</v>
      </c>
      <c r="F10" s="7" t="s">
        <v>33</v>
      </c>
      <c r="G10" s="25">
        <v>170.79</v>
      </c>
      <c r="H10" s="8" t="s">
        <v>12</v>
      </c>
      <c r="K10" s="10"/>
      <c r="L10" s="9"/>
    </row>
    <row r="11" spans="1:13" ht="18.75" customHeight="1" x14ac:dyDescent="0.3">
      <c r="A11" s="5">
        <v>1</v>
      </c>
      <c r="B11" s="6">
        <v>45460</v>
      </c>
      <c r="C11" s="7" t="s">
        <v>8</v>
      </c>
      <c r="D11" s="8" t="s">
        <v>32</v>
      </c>
      <c r="E11" s="7" t="s">
        <v>10</v>
      </c>
      <c r="F11" s="7" t="s">
        <v>33</v>
      </c>
      <c r="G11" s="25">
        <v>168.91</v>
      </c>
      <c r="H11" s="8" t="s">
        <v>12</v>
      </c>
      <c r="K11" s="10"/>
    </row>
    <row r="12" spans="1:13" ht="18.75" customHeight="1" x14ac:dyDescent="0.3">
      <c r="A12" s="5">
        <v>1</v>
      </c>
      <c r="B12" s="6">
        <v>45462</v>
      </c>
      <c r="C12" s="7" t="s">
        <v>8</v>
      </c>
      <c r="D12" s="8" t="s">
        <v>32</v>
      </c>
      <c r="E12" s="7" t="s">
        <v>10</v>
      </c>
      <c r="F12" s="7" t="s">
        <v>33</v>
      </c>
      <c r="G12" s="25">
        <v>168.64</v>
      </c>
      <c r="H12" s="8" t="s">
        <v>12</v>
      </c>
    </row>
    <row r="13" spans="1:13" ht="18.75" customHeight="1" x14ac:dyDescent="0.3">
      <c r="A13" s="5">
        <v>1</v>
      </c>
      <c r="B13" s="6">
        <v>45468</v>
      </c>
      <c r="C13" s="7" t="s">
        <v>8</v>
      </c>
      <c r="D13" s="8" t="s">
        <v>32</v>
      </c>
      <c r="E13" s="7" t="s">
        <v>10</v>
      </c>
      <c r="F13" s="7" t="s">
        <v>33</v>
      </c>
      <c r="G13" s="25">
        <v>127.21</v>
      </c>
      <c r="H13" s="8" t="s">
        <v>12</v>
      </c>
      <c r="M13" s="9"/>
    </row>
    <row r="14" spans="1:13" ht="18.75" customHeight="1" x14ac:dyDescent="0.3">
      <c r="A14" s="5">
        <v>1</v>
      </c>
      <c r="B14" s="6">
        <v>45472</v>
      </c>
      <c r="C14" s="7" t="s">
        <v>8</v>
      </c>
      <c r="D14" s="8" t="s">
        <v>32</v>
      </c>
      <c r="E14" s="7" t="s">
        <v>10</v>
      </c>
      <c r="F14" s="7" t="s">
        <v>33</v>
      </c>
      <c r="G14" s="25">
        <v>98.4</v>
      </c>
      <c r="H14" s="8" t="s">
        <v>12</v>
      </c>
      <c r="M14" s="9"/>
    </row>
    <row r="15" spans="1:13" ht="18.75" customHeight="1" x14ac:dyDescent="0.3">
      <c r="A15" s="5">
        <v>1</v>
      </c>
      <c r="B15" s="6">
        <v>45476</v>
      </c>
      <c r="C15" s="7" t="s">
        <v>8</v>
      </c>
      <c r="D15" s="8" t="s">
        <v>32</v>
      </c>
      <c r="E15" s="7" t="s">
        <v>10</v>
      </c>
      <c r="F15" s="7" t="s">
        <v>33</v>
      </c>
      <c r="G15" s="25">
        <v>40</v>
      </c>
      <c r="H15" s="8" t="s">
        <v>12</v>
      </c>
      <c r="K15" s="9"/>
      <c r="M15" s="9"/>
    </row>
    <row r="16" spans="1:13" ht="18.75" customHeight="1" x14ac:dyDescent="0.3">
      <c r="A16" s="5">
        <v>1</v>
      </c>
      <c r="B16" s="6">
        <v>45496</v>
      </c>
      <c r="C16" s="7" t="s">
        <v>8</v>
      </c>
      <c r="D16" s="8" t="s">
        <v>49</v>
      </c>
      <c r="E16" s="7" t="s">
        <v>10</v>
      </c>
      <c r="F16" s="7" t="s">
        <v>11</v>
      </c>
      <c r="G16" s="25">
        <v>100</v>
      </c>
      <c r="H16" s="8" t="s">
        <v>12</v>
      </c>
      <c r="K16" s="9"/>
      <c r="M16" s="9"/>
    </row>
    <row r="17" spans="1:13" ht="18.75" customHeight="1" x14ac:dyDescent="0.3">
      <c r="A17" s="5">
        <v>1</v>
      </c>
      <c r="B17" s="6">
        <v>45499</v>
      </c>
      <c r="C17" s="7" t="s">
        <v>8</v>
      </c>
      <c r="D17" s="8" t="s">
        <v>32</v>
      </c>
      <c r="E17" s="7" t="s">
        <v>10</v>
      </c>
      <c r="F17" s="7" t="s">
        <v>33</v>
      </c>
      <c r="G17" s="25">
        <v>479.53</v>
      </c>
      <c r="H17" s="8" t="s">
        <v>12</v>
      </c>
      <c r="M17" s="9"/>
    </row>
    <row r="18" spans="1:13" ht="18.75" customHeight="1" x14ac:dyDescent="0.3">
      <c r="A18" s="5">
        <v>1</v>
      </c>
      <c r="B18" s="6">
        <v>45503</v>
      </c>
      <c r="C18" s="7" t="s">
        <v>8</v>
      </c>
      <c r="D18" s="8" t="s">
        <v>32</v>
      </c>
      <c r="E18" s="7" t="s">
        <v>10</v>
      </c>
      <c r="F18" s="7" t="s">
        <v>33</v>
      </c>
      <c r="G18" s="25">
        <v>678.98</v>
      </c>
      <c r="H18" s="8" t="s">
        <v>12</v>
      </c>
      <c r="M18" s="9"/>
    </row>
    <row r="19" spans="1:13" ht="18.75" customHeight="1" x14ac:dyDescent="0.3">
      <c r="A19" s="5">
        <v>1</v>
      </c>
      <c r="B19" s="6">
        <v>45504</v>
      </c>
      <c r="C19" s="7" t="s">
        <v>19</v>
      </c>
      <c r="D19" s="8" t="s">
        <v>20</v>
      </c>
      <c r="E19" s="7" t="s">
        <v>21</v>
      </c>
      <c r="F19" s="7" t="s">
        <v>11</v>
      </c>
      <c r="G19" s="25">
        <v>15.950000000000001</v>
      </c>
      <c r="H19" s="8" t="s">
        <v>12</v>
      </c>
      <c r="M19" s="9"/>
    </row>
    <row r="20" spans="1:13" ht="18.75" customHeight="1" x14ac:dyDescent="0.3">
      <c r="A20" s="5">
        <v>1</v>
      </c>
      <c r="B20" s="6">
        <v>45504</v>
      </c>
      <c r="C20" s="7" t="s">
        <v>19</v>
      </c>
      <c r="D20" s="8" t="s">
        <v>22</v>
      </c>
      <c r="E20" s="7" t="s">
        <v>23</v>
      </c>
      <c r="F20" s="7" t="s">
        <v>11</v>
      </c>
      <c r="G20" s="25">
        <v>39.93</v>
      </c>
      <c r="H20" s="8" t="s">
        <v>12</v>
      </c>
      <c r="M20" s="9"/>
    </row>
    <row r="21" spans="1:13" ht="18.75" customHeight="1" x14ac:dyDescent="0.3">
      <c r="A21" s="5">
        <v>1</v>
      </c>
      <c r="B21" s="6">
        <v>45504</v>
      </c>
      <c r="C21" s="7" t="s">
        <v>19</v>
      </c>
      <c r="D21" s="8" t="s">
        <v>26</v>
      </c>
      <c r="E21" s="7" t="s">
        <v>27</v>
      </c>
      <c r="F21" s="7" t="s">
        <v>11</v>
      </c>
      <c r="G21" s="25">
        <v>146.97999999999999</v>
      </c>
      <c r="H21" s="8" t="s">
        <v>12</v>
      </c>
    </row>
    <row r="22" spans="1:13" ht="18.75" customHeight="1" x14ac:dyDescent="0.3">
      <c r="A22" s="5">
        <v>1</v>
      </c>
      <c r="B22" s="6">
        <v>45504</v>
      </c>
      <c r="C22" s="7" t="s">
        <v>19</v>
      </c>
      <c r="D22" s="8" t="s">
        <v>28</v>
      </c>
      <c r="E22" s="7" t="s">
        <v>29</v>
      </c>
      <c r="F22" s="7" t="s">
        <v>11</v>
      </c>
      <c r="G22" s="25">
        <v>286.69</v>
      </c>
      <c r="H22" s="8" t="s">
        <v>12</v>
      </c>
    </row>
    <row r="23" spans="1:13" ht="18.75" customHeight="1" x14ac:dyDescent="0.3">
      <c r="A23" s="5">
        <v>1</v>
      </c>
      <c r="B23" s="6">
        <v>45504</v>
      </c>
      <c r="C23" s="7" t="s">
        <v>19</v>
      </c>
      <c r="D23" s="8" t="s">
        <v>30</v>
      </c>
      <c r="E23" s="7" t="s">
        <v>31</v>
      </c>
      <c r="F23" s="7" t="s">
        <v>11</v>
      </c>
      <c r="G23" s="25">
        <v>50</v>
      </c>
      <c r="H23" s="8" t="s">
        <v>12</v>
      </c>
      <c r="K23" s="9"/>
    </row>
    <row r="24" spans="1:13" ht="18.75" customHeight="1" x14ac:dyDescent="0.3">
      <c r="A24" s="5">
        <v>1</v>
      </c>
      <c r="B24" s="6">
        <v>45504</v>
      </c>
      <c r="C24" s="7" t="s">
        <v>19</v>
      </c>
      <c r="D24" s="8" t="s">
        <v>35</v>
      </c>
      <c r="E24" s="7" t="s">
        <v>36</v>
      </c>
      <c r="F24" s="7" t="s">
        <v>11</v>
      </c>
      <c r="G24" s="25">
        <v>36.75</v>
      </c>
      <c r="H24" s="8" t="s">
        <v>12</v>
      </c>
    </row>
    <row r="25" spans="1:13" ht="18.75" customHeight="1" x14ac:dyDescent="0.3">
      <c r="A25" s="5">
        <v>1</v>
      </c>
      <c r="B25" s="6">
        <v>45504</v>
      </c>
      <c r="C25" s="7" t="s">
        <v>19</v>
      </c>
      <c r="D25" s="8" t="s">
        <v>39</v>
      </c>
      <c r="E25" s="7" t="s">
        <v>40</v>
      </c>
      <c r="F25" s="7" t="s">
        <v>11</v>
      </c>
      <c r="G25" s="25">
        <v>267.67</v>
      </c>
      <c r="H25" s="8" t="s">
        <v>12</v>
      </c>
    </row>
    <row r="26" spans="1:13" ht="18.75" customHeight="1" x14ac:dyDescent="0.3">
      <c r="A26" s="5">
        <v>1</v>
      </c>
      <c r="B26" s="6">
        <v>45504</v>
      </c>
      <c r="C26" s="7" t="s">
        <v>19</v>
      </c>
      <c r="D26" s="8" t="s">
        <v>41</v>
      </c>
      <c r="E26" s="7" t="s">
        <v>42</v>
      </c>
      <c r="F26" s="7" t="s">
        <v>11</v>
      </c>
      <c r="G26" s="25">
        <v>41.910000000000004</v>
      </c>
      <c r="H26" s="8" t="s">
        <v>12</v>
      </c>
    </row>
    <row r="27" spans="1:13" ht="18.75" customHeight="1" x14ac:dyDescent="0.3">
      <c r="A27" s="5">
        <v>1</v>
      </c>
      <c r="B27" s="6">
        <v>45504</v>
      </c>
      <c r="C27" s="7" t="s">
        <v>19</v>
      </c>
      <c r="D27" s="8" t="s">
        <v>47</v>
      </c>
      <c r="E27" s="7" t="s">
        <v>48</v>
      </c>
      <c r="F27" s="7" t="s">
        <v>11</v>
      </c>
      <c r="G27" s="25">
        <v>22.75</v>
      </c>
      <c r="H27" s="8" t="s">
        <v>12</v>
      </c>
    </row>
    <row r="28" spans="1:13" ht="18.75" customHeight="1" x14ac:dyDescent="0.3">
      <c r="A28" s="5">
        <v>1</v>
      </c>
      <c r="B28" s="6">
        <v>45508</v>
      </c>
      <c r="C28" s="7" t="s">
        <v>8</v>
      </c>
      <c r="D28" s="8" t="s">
        <v>43</v>
      </c>
      <c r="E28" s="7" t="s">
        <v>10</v>
      </c>
      <c r="F28" s="7" t="s">
        <v>11</v>
      </c>
      <c r="G28" s="25">
        <v>300</v>
      </c>
      <c r="H28" s="8" t="s">
        <v>12</v>
      </c>
      <c r="K28" s="9"/>
    </row>
    <row r="29" spans="1:13" ht="18.75" customHeight="1" x14ac:dyDescent="0.3">
      <c r="A29" s="5">
        <v>1</v>
      </c>
      <c r="B29" s="6">
        <v>45530</v>
      </c>
      <c r="C29" s="7" t="s">
        <v>8</v>
      </c>
      <c r="D29" s="8" t="s">
        <v>32</v>
      </c>
      <c r="E29" s="7" t="s">
        <v>10</v>
      </c>
      <c r="F29" s="7" t="s">
        <v>33</v>
      </c>
      <c r="G29" s="25">
        <v>42.75</v>
      </c>
      <c r="H29" s="8" t="s">
        <v>12</v>
      </c>
    </row>
    <row r="30" spans="1:13" ht="18.75" customHeight="1" x14ac:dyDescent="0.3">
      <c r="A30" s="5">
        <v>1</v>
      </c>
      <c r="B30" s="6">
        <v>45533</v>
      </c>
      <c r="C30" s="7" t="s">
        <v>8</v>
      </c>
      <c r="D30" s="8" t="s">
        <v>32</v>
      </c>
      <c r="E30" s="7" t="s">
        <v>10</v>
      </c>
      <c r="F30" s="7" t="s">
        <v>33</v>
      </c>
      <c r="G30" s="25">
        <v>70</v>
      </c>
      <c r="H30" s="8" t="s">
        <v>12</v>
      </c>
    </row>
    <row r="31" spans="1:13" ht="18.75" customHeight="1" x14ac:dyDescent="0.3">
      <c r="A31" s="5">
        <v>1</v>
      </c>
      <c r="B31" s="6">
        <v>45534</v>
      </c>
      <c r="C31" s="7" t="s">
        <v>8</v>
      </c>
      <c r="D31" s="8" t="s">
        <v>32</v>
      </c>
      <c r="E31" s="7" t="s">
        <v>10</v>
      </c>
      <c r="F31" s="7" t="s">
        <v>33</v>
      </c>
      <c r="G31" s="25">
        <v>236.85</v>
      </c>
      <c r="H31" s="8" t="s">
        <v>12</v>
      </c>
    </row>
    <row r="32" spans="1:13" ht="18.75" customHeight="1" x14ac:dyDescent="0.3">
      <c r="A32" s="5">
        <v>1</v>
      </c>
      <c r="B32" s="6">
        <v>45535</v>
      </c>
      <c r="C32" s="7" t="s">
        <v>19</v>
      </c>
      <c r="D32" s="8" t="s">
        <v>20</v>
      </c>
      <c r="E32" s="7" t="s">
        <v>21</v>
      </c>
      <c r="F32" s="7" t="s">
        <v>11</v>
      </c>
      <c r="G32" s="25">
        <v>3.76</v>
      </c>
      <c r="H32" s="8" t="s">
        <v>12</v>
      </c>
      <c r="K32" s="9"/>
    </row>
    <row r="33" spans="1:8" ht="18.75" customHeight="1" x14ac:dyDescent="0.3">
      <c r="A33" s="5">
        <v>1</v>
      </c>
      <c r="B33" s="6">
        <v>45535</v>
      </c>
      <c r="C33" s="7" t="s">
        <v>19</v>
      </c>
      <c r="D33" s="8" t="s">
        <v>22</v>
      </c>
      <c r="E33" s="7" t="s">
        <v>23</v>
      </c>
      <c r="F33" s="7" t="s">
        <v>11</v>
      </c>
      <c r="G33" s="25">
        <v>96.72</v>
      </c>
      <c r="H33" s="8" t="s">
        <v>12</v>
      </c>
    </row>
    <row r="34" spans="1:8" ht="18.75" customHeight="1" x14ac:dyDescent="0.3">
      <c r="A34" s="5">
        <v>1</v>
      </c>
      <c r="B34" s="6">
        <v>45535</v>
      </c>
      <c r="C34" s="7" t="s">
        <v>19</v>
      </c>
      <c r="D34" s="8" t="s">
        <v>26</v>
      </c>
      <c r="E34" s="7" t="s">
        <v>27</v>
      </c>
      <c r="F34" s="7" t="s">
        <v>11</v>
      </c>
      <c r="G34" s="25">
        <v>167.96</v>
      </c>
      <c r="H34" s="8" t="s">
        <v>12</v>
      </c>
    </row>
    <row r="35" spans="1:8" ht="18.75" customHeight="1" x14ac:dyDescent="0.3">
      <c r="A35" s="5">
        <v>1</v>
      </c>
      <c r="B35" s="6">
        <v>45535</v>
      </c>
      <c r="C35" s="7" t="s">
        <v>19</v>
      </c>
      <c r="D35" s="8" t="s">
        <v>28</v>
      </c>
      <c r="E35" s="7" t="s">
        <v>29</v>
      </c>
      <c r="F35" s="7" t="s">
        <v>11</v>
      </c>
      <c r="G35" s="25">
        <v>334.59999999999997</v>
      </c>
      <c r="H35" s="8" t="s">
        <v>12</v>
      </c>
    </row>
    <row r="36" spans="1:8" ht="18.75" customHeight="1" x14ac:dyDescent="0.3">
      <c r="A36" s="5">
        <v>1</v>
      </c>
      <c r="B36" s="6">
        <v>45535</v>
      </c>
      <c r="C36" s="7" t="s">
        <v>19</v>
      </c>
      <c r="D36" s="8" t="s">
        <v>30</v>
      </c>
      <c r="E36" s="7" t="s">
        <v>31</v>
      </c>
      <c r="F36" s="7" t="s">
        <v>11</v>
      </c>
      <c r="G36" s="25">
        <v>66</v>
      </c>
      <c r="H36" s="8" t="s">
        <v>12</v>
      </c>
    </row>
    <row r="37" spans="1:8" ht="18.75" customHeight="1" x14ac:dyDescent="0.3">
      <c r="A37" s="5">
        <v>1</v>
      </c>
      <c r="B37" s="6">
        <v>45535</v>
      </c>
      <c r="C37" s="7" t="s">
        <v>19</v>
      </c>
      <c r="D37" s="8" t="s">
        <v>35</v>
      </c>
      <c r="E37" s="7" t="s">
        <v>36</v>
      </c>
      <c r="F37" s="7" t="s">
        <v>11</v>
      </c>
      <c r="G37" s="25">
        <v>179.18</v>
      </c>
      <c r="H37" s="8" t="s">
        <v>12</v>
      </c>
    </row>
    <row r="38" spans="1:8" ht="18.75" customHeight="1" x14ac:dyDescent="0.3">
      <c r="A38" s="5">
        <v>1</v>
      </c>
      <c r="B38" s="6">
        <v>45535</v>
      </c>
      <c r="C38" s="7" t="s">
        <v>19</v>
      </c>
      <c r="D38" s="8" t="s">
        <v>39</v>
      </c>
      <c r="E38" s="7" t="s">
        <v>40</v>
      </c>
      <c r="F38" s="7" t="s">
        <v>11</v>
      </c>
      <c r="G38" s="25">
        <v>28.869999999999997</v>
      </c>
      <c r="H38" s="8" t="s">
        <v>12</v>
      </c>
    </row>
    <row r="39" spans="1:8" ht="18.75" customHeight="1" x14ac:dyDescent="0.3">
      <c r="A39" s="5">
        <v>1</v>
      </c>
      <c r="B39" s="6">
        <v>45535</v>
      </c>
      <c r="C39" s="7" t="s">
        <v>19</v>
      </c>
      <c r="D39" s="8" t="s">
        <v>41</v>
      </c>
      <c r="E39" s="7" t="s">
        <v>42</v>
      </c>
      <c r="F39" s="7" t="s">
        <v>11</v>
      </c>
      <c r="G39" s="25">
        <v>22.11</v>
      </c>
      <c r="H39" s="8" t="s">
        <v>12</v>
      </c>
    </row>
    <row r="40" spans="1:8" ht="18.75" customHeight="1" x14ac:dyDescent="0.3">
      <c r="A40" s="5">
        <v>1</v>
      </c>
      <c r="B40" s="6">
        <v>45535</v>
      </c>
      <c r="C40" s="7" t="s">
        <v>19</v>
      </c>
      <c r="D40" s="8" t="s">
        <v>47</v>
      </c>
      <c r="E40" s="7" t="s">
        <v>48</v>
      </c>
      <c r="F40" s="7" t="s">
        <v>11</v>
      </c>
      <c r="G40" s="25">
        <v>136.65</v>
      </c>
      <c r="H40" s="8" t="s">
        <v>12</v>
      </c>
    </row>
    <row r="41" spans="1:8" ht="18.75" customHeight="1" x14ac:dyDescent="0.3">
      <c r="A41" s="5">
        <v>1</v>
      </c>
      <c r="B41" s="6">
        <v>45537</v>
      </c>
      <c r="C41" s="7" t="s">
        <v>8</v>
      </c>
      <c r="D41" s="8" t="s">
        <v>32</v>
      </c>
      <c r="E41" s="7" t="s">
        <v>10</v>
      </c>
      <c r="F41" s="7" t="s">
        <v>33</v>
      </c>
      <c r="G41" s="25">
        <v>274</v>
      </c>
      <c r="H41" s="8" t="s">
        <v>12</v>
      </c>
    </row>
    <row r="42" spans="1:8" ht="18.75" customHeight="1" x14ac:dyDescent="0.3">
      <c r="A42" s="5">
        <v>1</v>
      </c>
      <c r="B42" s="6">
        <v>45542</v>
      </c>
      <c r="C42" s="7" t="s">
        <v>8</v>
      </c>
      <c r="D42" s="8" t="s">
        <v>32</v>
      </c>
      <c r="E42" s="7" t="s">
        <v>10</v>
      </c>
      <c r="F42" s="7" t="s">
        <v>33</v>
      </c>
      <c r="G42" s="25">
        <v>400</v>
      </c>
      <c r="H42" s="8" t="s">
        <v>12</v>
      </c>
    </row>
    <row r="43" spans="1:8" ht="18.75" customHeight="1" x14ac:dyDescent="0.3">
      <c r="A43" s="5">
        <v>1</v>
      </c>
      <c r="B43" s="6">
        <v>45561</v>
      </c>
      <c r="C43" s="7" t="s">
        <v>8</v>
      </c>
      <c r="D43" s="8" t="s">
        <v>32</v>
      </c>
      <c r="E43" s="7" t="s">
        <v>10</v>
      </c>
      <c r="F43" s="7" t="s">
        <v>33</v>
      </c>
      <c r="G43" s="25">
        <v>576.5</v>
      </c>
      <c r="H43" s="8" t="s">
        <v>12</v>
      </c>
    </row>
    <row r="44" spans="1:8" ht="18.75" customHeight="1" x14ac:dyDescent="0.3">
      <c r="A44" s="5">
        <v>1</v>
      </c>
      <c r="B44" s="6">
        <v>45565</v>
      </c>
      <c r="C44" s="7" t="s">
        <v>19</v>
      </c>
      <c r="D44" s="8" t="s">
        <v>20</v>
      </c>
      <c r="E44" s="7" t="s">
        <v>21</v>
      </c>
      <c r="F44" s="7" t="s">
        <v>11</v>
      </c>
      <c r="G44" s="25">
        <v>18.93</v>
      </c>
      <c r="H44" s="8" t="s">
        <v>12</v>
      </c>
    </row>
    <row r="45" spans="1:8" ht="18.75" customHeight="1" x14ac:dyDescent="0.3">
      <c r="A45" s="5">
        <v>1</v>
      </c>
      <c r="B45" s="6">
        <v>45565</v>
      </c>
      <c r="C45" s="7" t="s">
        <v>19</v>
      </c>
      <c r="D45" s="8" t="s">
        <v>22</v>
      </c>
      <c r="E45" s="7" t="s">
        <v>23</v>
      </c>
      <c r="F45" s="7" t="s">
        <v>11</v>
      </c>
      <c r="G45" s="25">
        <v>69.989999999999995</v>
      </c>
      <c r="H45" s="8" t="s">
        <v>12</v>
      </c>
    </row>
    <row r="46" spans="1:8" ht="18.75" customHeight="1" x14ac:dyDescent="0.3">
      <c r="A46" s="5">
        <v>1</v>
      </c>
      <c r="B46" s="6">
        <v>45565</v>
      </c>
      <c r="C46" s="7" t="s">
        <v>19</v>
      </c>
      <c r="D46" s="8" t="s">
        <v>26</v>
      </c>
      <c r="E46" s="7" t="s">
        <v>27</v>
      </c>
      <c r="F46" s="7" t="s">
        <v>11</v>
      </c>
      <c r="G46" s="25">
        <v>177.23000000000002</v>
      </c>
      <c r="H46" s="8" t="s">
        <v>12</v>
      </c>
    </row>
    <row r="47" spans="1:8" ht="18.75" customHeight="1" x14ac:dyDescent="0.3">
      <c r="A47" s="5">
        <v>1</v>
      </c>
      <c r="B47" s="6">
        <v>45565</v>
      </c>
      <c r="C47" s="7" t="s">
        <v>19</v>
      </c>
      <c r="D47" s="8" t="s">
        <v>28</v>
      </c>
      <c r="E47" s="7" t="s">
        <v>29</v>
      </c>
      <c r="F47" s="7" t="s">
        <v>11</v>
      </c>
      <c r="G47" s="25">
        <v>274</v>
      </c>
      <c r="H47" s="8" t="s">
        <v>12</v>
      </c>
    </row>
    <row r="48" spans="1:8" ht="18.75" customHeight="1" x14ac:dyDescent="0.3">
      <c r="A48" s="5">
        <v>1</v>
      </c>
      <c r="B48" s="6">
        <v>45565</v>
      </c>
      <c r="C48" s="7" t="s">
        <v>19</v>
      </c>
      <c r="D48" s="8" t="s">
        <v>30</v>
      </c>
      <c r="E48" s="7" t="s">
        <v>31</v>
      </c>
      <c r="F48" s="7" t="s">
        <v>11</v>
      </c>
      <c r="G48" s="25">
        <v>91.06</v>
      </c>
      <c r="H48" s="8" t="s">
        <v>12</v>
      </c>
    </row>
    <row r="49" spans="1:11" ht="18.75" customHeight="1" x14ac:dyDescent="0.3">
      <c r="A49" s="5">
        <v>1</v>
      </c>
      <c r="B49" s="6">
        <v>45565</v>
      </c>
      <c r="C49" s="7" t="s">
        <v>19</v>
      </c>
      <c r="D49" s="8" t="s">
        <v>35</v>
      </c>
      <c r="E49" s="7" t="s">
        <v>36</v>
      </c>
      <c r="F49" s="7" t="s">
        <v>11</v>
      </c>
      <c r="G49" s="25">
        <v>172.09</v>
      </c>
      <c r="H49" s="8" t="s">
        <v>12</v>
      </c>
    </row>
    <row r="50" spans="1:11" ht="18.75" customHeight="1" x14ac:dyDescent="0.3">
      <c r="A50" s="5">
        <v>1</v>
      </c>
      <c r="B50" s="6">
        <v>45565</v>
      </c>
      <c r="C50" s="7" t="s">
        <v>19</v>
      </c>
      <c r="D50" s="8" t="s">
        <v>37</v>
      </c>
      <c r="E50" s="7" t="s">
        <v>38</v>
      </c>
      <c r="F50" s="7" t="s">
        <v>33</v>
      </c>
      <c r="G50" s="25">
        <v>1023.8</v>
      </c>
      <c r="H50" s="8" t="s">
        <v>12</v>
      </c>
    </row>
    <row r="51" spans="1:11" ht="18.75" customHeight="1" x14ac:dyDescent="0.3">
      <c r="A51" s="5">
        <v>1</v>
      </c>
      <c r="B51" s="6">
        <v>45565</v>
      </c>
      <c r="C51" s="7" t="s">
        <v>19</v>
      </c>
      <c r="D51" s="8" t="s">
        <v>39</v>
      </c>
      <c r="E51" s="7" t="s">
        <v>40</v>
      </c>
      <c r="F51" s="7" t="s">
        <v>11</v>
      </c>
      <c r="G51" s="25">
        <v>72.47</v>
      </c>
      <c r="H51" s="8" t="s">
        <v>12</v>
      </c>
      <c r="K51" s="9"/>
    </row>
    <row r="52" spans="1:11" ht="18.75" customHeight="1" x14ac:dyDescent="0.3">
      <c r="A52" s="5">
        <v>1</v>
      </c>
      <c r="B52" s="6">
        <v>45565</v>
      </c>
      <c r="C52" s="7" t="s">
        <v>19</v>
      </c>
      <c r="D52" s="8" t="s">
        <v>44</v>
      </c>
      <c r="E52" s="7" t="s">
        <v>45</v>
      </c>
      <c r="F52" s="7" t="s">
        <v>11</v>
      </c>
      <c r="G52" s="25">
        <v>29.87</v>
      </c>
      <c r="H52" s="8" t="s">
        <v>12</v>
      </c>
    </row>
    <row r="53" spans="1:11" ht="18.75" customHeight="1" x14ac:dyDescent="0.3">
      <c r="A53" s="5">
        <v>1</v>
      </c>
      <c r="B53" s="6">
        <v>45565</v>
      </c>
      <c r="C53" s="7" t="s">
        <v>19</v>
      </c>
      <c r="D53" s="8" t="s">
        <v>47</v>
      </c>
      <c r="E53" s="7" t="s">
        <v>48</v>
      </c>
      <c r="F53" s="7" t="s">
        <v>11</v>
      </c>
      <c r="G53" s="25">
        <v>138.78</v>
      </c>
      <c r="H53" s="8" t="s">
        <v>12</v>
      </c>
    </row>
    <row r="54" spans="1:11" ht="18.75" customHeight="1" x14ac:dyDescent="0.3">
      <c r="A54" s="5">
        <v>1</v>
      </c>
      <c r="B54" s="6">
        <v>45582</v>
      </c>
      <c r="C54" s="7" t="s">
        <v>8</v>
      </c>
      <c r="D54" s="8" t="s">
        <v>14</v>
      </c>
      <c r="E54" s="7" t="s">
        <v>10</v>
      </c>
      <c r="F54" s="7" t="s">
        <v>11</v>
      </c>
      <c r="G54" s="25">
        <v>298.95999999999998</v>
      </c>
      <c r="H54" s="8" t="s">
        <v>12</v>
      </c>
    </row>
    <row r="55" spans="1:11" ht="18.75" customHeight="1" x14ac:dyDescent="0.3">
      <c r="A55" s="5">
        <v>1</v>
      </c>
      <c r="B55" s="6">
        <v>45595</v>
      </c>
      <c r="C55" s="7" t="s">
        <v>19</v>
      </c>
      <c r="D55" s="8" t="s">
        <v>37</v>
      </c>
      <c r="E55" s="7" t="s">
        <v>38</v>
      </c>
      <c r="F55" s="7" t="s">
        <v>33</v>
      </c>
      <c r="G55" s="27">
        <v>1023.8</v>
      </c>
      <c r="H55" s="8" t="s">
        <v>12</v>
      </c>
    </row>
    <row r="56" spans="1:11" ht="18.75" customHeight="1" x14ac:dyDescent="0.3">
      <c r="A56" s="5">
        <v>1</v>
      </c>
      <c r="B56" s="6">
        <v>45596</v>
      </c>
      <c r="C56" s="7" t="s">
        <v>19</v>
      </c>
      <c r="D56" s="8" t="s">
        <v>20</v>
      </c>
      <c r="E56" s="7" t="s">
        <v>21</v>
      </c>
      <c r="F56" s="7" t="s">
        <v>11</v>
      </c>
      <c r="G56" s="25">
        <v>9</v>
      </c>
      <c r="H56" s="8" t="s">
        <v>12</v>
      </c>
    </row>
    <row r="57" spans="1:11" ht="18.75" customHeight="1" x14ac:dyDescent="0.3">
      <c r="A57" s="5">
        <v>1</v>
      </c>
      <c r="B57" s="6">
        <v>45596</v>
      </c>
      <c r="C57" s="7" t="s">
        <v>19</v>
      </c>
      <c r="D57" s="8" t="s">
        <v>22</v>
      </c>
      <c r="E57" s="7" t="s">
        <v>23</v>
      </c>
      <c r="F57" s="7" t="s">
        <v>11</v>
      </c>
      <c r="G57" s="25">
        <v>84.93</v>
      </c>
      <c r="H57" s="8" t="s">
        <v>12</v>
      </c>
    </row>
    <row r="58" spans="1:11" ht="18.75" customHeight="1" x14ac:dyDescent="0.3">
      <c r="A58" s="5">
        <v>1</v>
      </c>
      <c r="B58" s="6">
        <v>45596</v>
      </c>
      <c r="C58" s="7" t="s">
        <v>19</v>
      </c>
      <c r="D58" s="8" t="s">
        <v>26</v>
      </c>
      <c r="E58" s="7" t="s">
        <v>27</v>
      </c>
      <c r="F58" s="7" t="s">
        <v>11</v>
      </c>
      <c r="G58" s="25">
        <v>50.86</v>
      </c>
      <c r="H58" s="8" t="s">
        <v>12</v>
      </c>
    </row>
    <row r="59" spans="1:11" ht="18.75" customHeight="1" x14ac:dyDescent="0.3">
      <c r="A59" s="5">
        <v>1</v>
      </c>
      <c r="B59" s="6">
        <v>45596</v>
      </c>
      <c r="C59" s="7" t="s">
        <v>19</v>
      </c>
      <c r="D59" s="8" t="s">
        <v>28</v>
      </c>
      <c r="E59" s="7" t="s">
        <v>29</v>
      </c>
      <c r="F59" s="7" t="s">
        <v>11</v>
      </c>
      <c r="G59" s="25">
        <v>274</v>
      </c>
      <c r="H59" s="8" t="s">
        <v>12</v>
      </c>
    </row>
    <row r="60" spans="1:11" ht="18.75" customHeight="1" x14ac:dyDescent="0.3">
      <c r="A60" s="5">
        <v>1</v>
      </c>
      <c r="B60" s="6">
        <v>45596</v>
      </c>
      <c r="C60" s="7" t="s">
        <v>19</v>
      </c>
      <c r="D60" s="8" t="s">
        <v>30</v>
      </c>
      <c r="E60" s="7" t="s">
        <v>31</v>
      </c>
      <c r="F60" s="7" t="s">
        <v>11</v>
      </c>
      <c r="G60" s="25">
        <v>45</v>
      </c>
      <c r="H60" s="8" t="s">
        <v>12</v>
      </c>
    </row>
    <row r="61" spans="1:11" ht="18.75" customHeight="1" x14ac:dyDescent="0.3">
      <c r="A61" s="5">
        <v>1</v>
      </c>
      <c r="B61" s="6">
        <v>45596</v>
      </c>
      <c r="C61" s="7" t="s">
        <v>19</v>
      </c>
      <c r="D61" s="8" t="s">
        <v>35</v>
      </c>
      <c r="E61" s="7" t="s">
        <v>36</v>
      </c>
      <c r="F61" s="7" t="s">
        <v>11</v>
      </c>
      <c r="G61" s="25">
        <v>151.34</v>
      </c>
      <c r="H61" s="8" t="s">
        <v>12</v>
      </c>
    </row>
    <row r="62" spans="1:11" ht="18.75" customHeight="1" x14ac:dyDescent="0.3">
      <c r="A62" s="5">
        <v>1</v>
      </c>
      <c r="B62" s="6">
        <v>45596</v>
      </c>
      <c r="C62" s="7" t="s">
        <v>19</v>
      </c>
      <c r="D62" s="8" t="s">
        <v>39</v>
      </c>
      <c r="E62" s="7" t="s">
        <v>40</v>
      </c>
      <c r="F62" s="7" t="s">
        <v>11</v>
      </c>
      <c r="G62" s="25">
        <v>26.92</v>
      </c>
      <c r="H62" s="8" t="s">
        <v>12</v>
      </c>
    </row>
    <row r="63" spans="1:11" ht="18.75" customHeight="1" x14ac:dyDescent="0.3">
      <c r="A63" s="5">
        <v>1</v>
      </c>
      <c r="B63" s="6">
        <v>45596</v>
      </c>
      <c r="C63" s="7" t="s">
        <v>19</v>
      </c>
      <c r="D63" s="8" t="s">
        <v>44</v>
      </c>
      <c r="E63" s="7" t="s">
        <v>45</v>
      </c>
      <c r="F63" s="7" t="s">
        <v>11</v>
      </c>
      <c r="G63" s="25">
        <v>17.560000000000002</v>
      </c>
      <c r="H63" s="8" t="s">
        <v>12</v>
      </c>
    </row>
    <row r="64" spans="1:11" ht="18.75" customHeight="1" x14ac:dyDescent="0.3">
      <c r="A64" s="5">
        <v>1</v>
      </c>
      <c r="B64" s="6">
        <v>45596</v>
      </c>
      <c r="C64" s="7" t="s">
        <v>19</v>
      </c>
      <c r="D64" s="8" t="s">
        <v>47</v>
      </c>
      <c r="E64" s="7" t="s">
        <v>48</v>
      </c>
      <c r="F64" s="7" t="s">
        <v>11</v>
      </c>
      <c r="G64" s="25">
        <v>565.41000000000008</v>
      </c>
      <c r="H64" s="8" t="s">
        <v>12</v>
      </c>
    </row>
    <row r="65" spans="1:8" ht="18.75" customHeight="1" x14ac:dyDescent="0.3">
      <c r="A65" s="5">
        <v>1</v>
      </c>
      <c r="B65" s="6">
        <v>45605</v>
      </c>
      <c r="C65" s="7" t="s">
        <v>8</v>
      </c>
      <c r="D65" s="8" t="s">
        <v>32</v>
      </c>
      <c r="E65" s="7" t="s">
        <v>10</v>
      </c>
      <c r="F65" s="7" t="s">
        <v>33</v>
      </c>
      <c r="G65" s="25">
        <v>79.94</v>
      </c>
      <c r="H65" s="8" t="s">
        <v>12</v>
      </c>
    </row>
    <row r="66" spans="1:8" ht="18.75" customHeight="1" x14ac:dyDescent="0.3">
      <c r="A66" s="5">
        <v>1</v>
      </c>
      <c r="B66" s="6">
        <v>45610</v>
      </c>
      <c r="C66" s="7" t="s">
        <v>8</v>
      </c>
      <c r="D66" s="8" t="s">
        <v>32</v>
      </c>
      <c r="E66" s="7" t="s">
        <v>10</v>
      </c>
      <c r="F66" s="7" t="s">
        <v>33</v>
      </c>
      <c r="G66" s="25">
        <v>242.13</v>
      </c>
      <c r="H66" s="8" t="s">
        <v>12</v>
      </c>
    </row>
    <row r="67" spans="1:8" ht="18.75" customHeight="1" x14ac:dyDescent="0.3">
      <c r="A67" s="5">
        <v>1</v>
      </c>
      <c r="B67" s="6">
        <v>45613</v>
      </c>
      <c r="C67" s="7" t="s">
        <v>8</v>
      </c>
      <c r="D67" s="8" t="s">
        <v>16</v>
      </c>
      <c r="E67" s="7" t="s">
        <v>10</v>
      </c>
      <c r="F67" s="7" t="s">
        <v>11</v>
      </c>
      <c r="G67" s="25">
        <v>298.95999999999998</v>
      </c>
      <c r="H67" s="8" t="s">
        <v>12</v>
      </c>
    </row>
    <row r="68" spans="1:8" ht="18.75" customHeight="1" x14ac:dyDescent="0.3">
      <c r="A68" s="5">
        <v>1</v>
      </c>
      <c r="B68" s="6">
        <v>45619</v>
      </c>
      <c r="C68" s="7" t="s">
        <v>8</v>
      </c>
      <c r="D68" s="8" t="s">
        <v>32</v>
      </c>
      <c r="E68" s="7" t="s">
        <v>10</v>
      </c>
      <c r="F68" s="7" t="s">
        <v>33</v>
      </c>
      <c r="G68" s="25">
        <v>82.04</v>
      </c>
      <c r="H68" s="8" t="s">
        <v>12</v>
      </c>
    </row>
    <row r="69" spans="1:8" ht="18.75" customHeight="1" x14ac:dyDescent="0.3">
      <c r="A69" s="5">
        <v>1</v>
      </c>
      <c r="B69" s="6">
        <v>45625</v>
      </c>
      <c r="C69" s="7" t="s">
        <v>19</v>
      </c>
      <c r="D69" s="8" t="s">
        <v>37</v>
      </c>
      <c r="E69" s="7" t="s">
        <v>38</v>
      </c>
      <c r="F69" s="7" t="s">
        <v>33</v>
      </c>
      <c r="G69" s="27">
        <v>1023.8</v>
      </c>
      <c r="H69" s="8" t="s">
        <v>12</v>
      </c>
    </row>
    <row r="70" spans="1:8" ht="18.75" customHeight="1" x14ac:dyDescent="0.3">
      <c r="A70" s="5">
        <v>1</v>
      </c>
      <c r="B70" s="6">
        <v>45626</v>
      </c>
      <c r="C70" s="7" t="s">
        <v>19</v>
      </c>
      <c r="D70" s="8" t="s">
        <v>20</v>
      </c>
      <c r="E70" s="7" t="s">
        <v>21</v>
      </c>
      <c r="F70" s="7" t="s">
        <v>11</v>
      </c>
      <c r="G70" s="25">
        <v>28.24</v>
      </c>
      <c r="H70" s="8" t="s">
        <v>12</v>
      </c>
    </row>
    <row r="71" spans="1:8" ht="18.75" customHeight="1" x14ac:dyDescent="0.3">
      <c r="A71" s="5">
        <v>1</v>
      </c>
      <c r="B71" s="6">
        <v>45626</v>
      </c>
      <c r="C71" s="7" t="s">
        <v>19</v>
      </c>
      <c r="D71" s="8" t="s">
        <v>22</v>
      </c>
      <c r="E71" s="7" t="s">
        <v>23</v>
      </c>
      <c r="F71" s="7" t="s">
        <v>11</v>
      </c>
      <c r="G71" s="25">
        <v>88.85</v>
      </c>
      <c r="H71" s="8" t="s">
        <v>12</v>
      </c>
    </row>
    <row r="72" spans="1:8" ht="18.75" customHeight="1" x14ac:dyDescent="0.3">
      <c r="A72" s="5">
        <v>1</v>
      </c>
      <c r="B72" s="6">
        <v>45626</v>
      </c>
      <c r="C72" s="7" t="s">
        <v>19</v>
      </c>
      <c r="D72" s="8" t="s">
        <v>26</v>
      </c>
      <c r="E72" s="7" t="s">
        <v>27</v>
      </c>
      <c r="F72" s="7" t="s">
        <v>11</v>
      </c>
      <c r="G72" s="25">
        <v>135.14999999999998</v>
      </c>
      <c r="H72" s="8" t="s">
        <v>12</v>
      </c>
    </row>
    <row r="73" spans="1:8" ht="18.75" customHeight="1" x14ac:dyDescent="0.3">
      <c r="A73" s="5">
        <v>1</v>
      </c>
      <c r="B73" s="6">
        <v>45626</v>
      </c>
      <c r="C73" s="7" t="s">
        <v>19</v>
      </c>
      <c r="D73" s="8" t="s">
        <v>28</v>
      </c>
      <c r="E73" s="7" t="s">
        <v>29</v>
      </c>
      <c r="F73" s="7" t="s">
        <v>11</v>
      </c>
      <c r="G73" s="25">
        <v>284.8</v>
      </c>
      <c r="H73" s="8" t="s">
        <v>12</v>
      </c>
    </row>
    <row r="74" spans="1:8" ht="18.75" customHeight="1" x14ac:dyDescent="0.3">
      <c r="A74" s="5">
        <v>1</v>
      </c>
      <c r="B74" s="6">
        <v>45626</v>
      </c>
      <c r="C74" s="7" t="s">
        <v>19</v>
      </c>
      <c r="D74" s="8" t="s">
        <v>30</v>
      </c>
      <c r="E74" s="7" t="s">
        <v>31</v>
      </c>
      <c r="F74" s="7" t="s">
        <v>11</v>
      </c>
      <c r="G74" s="25">
        <v>40.76</v>
      </c>
      <c r="H74" s="8" t="s">
        <v>12</v>
      </c>
    </row>
    <row r="75" spans="1:8" ht="18.75" customHeight="1" x14ac:dyDescent="0.3">
      <c r="A75" s="5">
        <v>1</v>
      </c>
      <c r="B75" s="6">
        <v>45626</v>
      </c>
      <c r="C75" s="7" t="s">
        <v>19</v>
      </c>
      <c r="D75" s="8" t="s">
        <v>35</v>
      </c>
      <c r="E75" s="7" t="s">
        <v>36</v>
      </c>
      <c r="F75" s="7" t="s">
        <v>11</v>
      </c>
      <c r="G75" s="25">
        <v>163.84</v>
      </c>
      <c r="H75" s="8" t="s">
        <v>12</v>
      </c>
    </row>
    <row r="76" spans="1:8" ht="18.75" customHeight="1" x14ac:dyDescent="0.3">
      <c r="A76" s="5">
        <v>1</v>
      </c>
      <c r="B76" s="6">
        <v>45626</v>
      </c>
      <c r="C76" s="7" t="s">
        <v>19</v>
      </c>
      <c r="D76" s="8" t="s">
        <v>39</v>
      </c>
      <c r="E76" s="7" t="s">
        <v>40</v>
      </c>
      <c r="F76" s="7" t="s">
        <v>11</v>
      </c>
      <c r="G76" s="25">
        <v>50.83</v>
      </c>
      <c r="H76" s="8" t="s">
        <v>12</v>
      </c>
    </row>
    <row r="77" spans="1:8" ht="18.75" customHeight="1" x14ac:dyDescent="0.3">
      <c r="A77" s="5">
        <v>1</v>
      </c>
      <c r="B77" s="6">
        <v>45626</v>
      </c>
      <c r="C77" s="7" t="s">
        <v>19</v>
      </c>
      <c r="D77" s="8" t="s">
        <v>44</v>
      </c>
      <c r="E77" s="7" t="s">
        <v>45</v>
      </c>
      <c r="F77" s="7" t="s">
        <v>11</v>
      </c>
      <c r="G77" s="25">
        <v>5.59</v>
      </c>
      <c r="H77" s="8" t="s">
        <v>12</v>
      </c>
    </row>
    <row r="78" spans="1:8" ht="18.75" customHeight="1" x14ac:dyDescent="0.3">
      <c r="A78" s="5">
        <v>1</v>
      </c>
      <c r="B78" s="6">
        <v>45626</v>
      </c>
      <c r="C78" s="7" t="s">
        <v>19</v>
      </c>
      <c r="D78" s="8" t="s">
        <v>47</v>
      </c>
      <c r="E78" s="7" t="s">
        <v>48</v>
      </c>
      <c r="F78" s="7" t="s">
        <v>11</v>
      </c>
      <c r="G78" s="25">
        <v>276.43</v>
      </c>
      <c r="H78" s="8" t="s">
        <v>12</v>
      </c>
    </row>
    <row r="79" spans="1:8" ht="18.75" customHeight="1" x14ac:dyDescent="0.3">
      <c r="A79" s="5">
        <v>1</v>
      </c>
      <c r="B79" s="6">
        <v>45638</v>
      </c>
      <c r="C79" s="7" t="s">
        <v>8</v>
      </c>
      <c r="D79" s="8" t="s">
        <v>32</v>
      </c>
      <c r="E79" s="7" t="s">
        <v>10</v>
      </c>
      <c r="F79" s="7" t="s">
        <v>33</v>
      </c>
      <c r="G79" s="25">
        <v>100</v>
      </c>
      <c r="H79" s="8" t="s">
        <v>12</v>
      </c>
    </row>
    <row r="80" spans="1:8" ht="18.75" customHeight="1" x14ac:dyDescent="0.3">
      <c r="A80" s="5">
        <v>1</v>
      </c>
      <c r="B80" s="6">
        <v>45643</v>
      </c>
      <c r="C80" s="7" t="s">
        <v>8</v>
      </c>
      <c r="D80" s="8" t="s">
        <v>17</v>
      </c>
      <c r="E80" s="7" t="s">
        <v>10</v>
      </c>
      <c r="F80" s="7" t="s">
        <v>11</v>
      </c>
      <c r="G80" s="25">
        <v>298.95999999999998</v>
      </c>
      <c r="H80" s="8" t="s">
        <v>12</v>
      </c>
    </row>
    <row r="81" spans="1:15" ht="18.75" customHeight="1" x14ac:dyDescent="0.3">
      <c r="A81" s="5">
        <v>1</v>
      </c>
      <c r="B81" s="6">
        <v>45656</v>
      </c>
      <c r="C81" s="7" t="s">
        <v>19</v>
      </c>
      <c r="D81" s="8" t="s">
        <v>37</v>
      </c>
      <c r="E81" s="7" t="s">
        <v>38</v>
      </c>
      <c r="F81" s="7" t="s">
        <v>33</v>
      </c>
      <c r="G81" s="27">
        <v>1023.8</v>
      </c>
      <c r="H81" s="8" t="s">
        <v>12</v>
      </c>
    </row>
    <row r="82" spans="1:15" ht="18.75" customHeight="1" x14ac:dyDescent="0.3">
      <c r="A82" s="5">
        <v>1</v>
      </c>
      <c r="B82" s="6">
        <v>45657</v>
      </c>
      <c r="C82" s="7" t="s">
        <v>19</v>
      </c>
      <c r="D82" s="8" t="s">
        <v>20</v>
      </c>
      <c r="E82" s="7" t="s">
        <v>21</v>
      </c>
      <c r="F82" s="7" t="s">
        <v>11</v>
      </c>
      <c r="G82" s="25">
        <v>11.05</v>
      </c>
      <c r="H82" s="8" t="s">
        <v>12</v>
      </c>
    </row>
    <row r="83" spans="1:15" ht="18.75" customHeight="1" x14ac:dyDescent="0.3">
      <c r="A83" s="5">
        <v>1</v>
      </c>
      <c r="B83" s="6">
        <v>45657</v>
      </c>
      <c r="C83" s="7" t="s">
        <v>19</v>
      </c>
      <c r="D83" s="8" t="s">
        <v>22</v>
      </c>
      <c r="E83" s="7" t="s">
        <v>23</v>
      </c>
      <c r="F83" s="7" t="s">
        <v>11</v>
      </c>
      <c r="G83" s="25">
        <v>123.28999999999999</v>
      </c>
      <c r="H83" s="8" t="s">
        <v>12</v>
      </c>
    </row>
    <row r="84" spans="1:15" ht="18.75" customHeight="1" x14ac:dyDescent="0.3">
      <c r="A84" s="5">
        <v>1</v>
      </c>
      <c r="B84" s="6">
        <v>45657</v>
      </c>
      <c r="C84" s="7" t="s">
        <v>19</v>
      </c>
      <c r="D84" s="8" t="s">
        <v>26</v>
      </c>
      <c r="E84" s="7" t="s">
        <v>27</v>
      </c>
      <c r="F84" s="7" t="s">
        <v>11</v>
      </c>
      <c r="G84" s="25">
        <v>102.53999999999999</v>
      </c>
      <c r="H84" s="8" t="s">
        <v>12</v>
      </c>
    </row>
    <row r="85" spans="1:15" ht="18.75" customHeight="1" x14ac:dyDescent="0.3">
      <c r="A85" s="5">
        <v>1</v>
      </c>
      <c r="B85" s="6">
        <v>45657</v>
      </c>
      <c r="C85" s="7" t="s">
        <v>19</v>
      </c>
      <c r="D85" s="8" t="s">
        <v>28</v>
      </c>
      <c r="E85" s="7" t="s">
        <v>29</v>
      </c>
      <c r="F85" s="7" t="s">
        <v>11</v>
      </c>
      <c r="G85" s="25">
        <v>274</v>
      </c>
      <c r="H85" s="8" t="s">
        <v>12</v>
      </c>
    </row>
    <row r="86" spans="1:15" ht="18.75" customHeight="1" x14ac:dyDescent="0.3">
      <c r="A86" s="5">
        <v>1</v>
      </c>
      <c r="B86" s="6">
        <v>45657</v>
      </c>
      <c r="C86" s="7" t="s">
        <v>19</v>
      </c>
      <c r="D86" s="8" t="s">
        <v>30</v>
      </c>
      <c r="E86" s="7" t="s">
        <v>31</v>
      </c>
      <c r="F86" s="7" t="s">
        <v>11</v>
      </c>
      <c r="G86" s="25">
        <v>40</v>
      </c>
      <c r="H86" s="8" t="s">
        <v>12</v>
      </c>
    </row>
    <row r="87" spans="1:15" ht="18.75" customHeight="1" x14ac:dyDescent="0.3">
      <c r="A87" s="5">
        <v>1</v>
      </c>
      <c r="B87" s="6">
        <v>45657</v>
      </c>
      <c r="C87" s="7" t="s">
        <v>19</v>
      </c>
      <c r="D87" s="8" t="s">
        <v>35</v>
      </c>
      <c r="E87" s="7" t="s">
        <v>36</v>
      </c>
      <c r="F87" s="7" t="s">
        <v>11</v>
      </c>
      <c r="G87" s="25">
        <v>143.09</v>
      </c>
      <c r="H87" s="8" t="s">
        <v>12</v>
      </c>
    </row>
    <row r="88" spans="1:15" ht="18.75" customHeight="1" x14ac:dyDescent="0.3">
      <c r="A88" s="5">
        <v>1</v>
      </c>
      <c r="B88" s="6">
        <v>45657</v>
      </c>
      <c r="C88" s="7" t="s">
        <v>19</v>
      </c>
      <c r="D88" s="8" t="s">
        <v>39</v>
      </c>
      <c r="E88" s="7" t="s">
        <v>40</v>
      </c>
      <c r="F88" s="7" t="s">
        <v>11</v>
      </c>
      <c r="G88" s="25">
        <v>107.53999999999999</v>
      </c>
      <c r="H88" s="8" t="s">
        <v>12</v>
      </c>
    </row>
    <row r="89" spans="1:15" ht="18.75" customHeight="1" x14ac:dyDescent="0.3">
      <c r="A89" s="5">
        <v>1</v>
      </c>
      <c r="B89" s="6">
        <v>45657</v>
      </c>
      <c r="C89" s="7" t="s">
        <v>19</v>
      </c>
      <c r="D89" s="8" t="s">
        <v>44</v>
      </c>
      <c r="E89" s="7" t="s">
        <v>45</v>
      </c>
      <c r="F89" s="7" t="s">
        <v>11</v>
      </c>
      <c r="G89" s="25">
        <v>52.92</v>
      </c>
      <c r="H89" s="8" t="s">
        <v>12</v>
      </c>
      <c r="O89" s="9"/>
    </row>
    <row r="90" spans="1:15" ht="18.75" customHeight="1" x14ac:dyDescent="0.3">
      <c r="A90" s="5">
        <v>1</v>
      </c>
      <c r="B90" s="6">
        <v>45657</v>
      </c>
      <c r="C90" s="7" t="s">
        <v>19</v>
      </c>
      <c r="D90" s="8" t="s">
        <v>47</v>
      </c>
      <c r="E90" s="7" t="s">
        <v>48</v>
      </c>
      <c r="F90" s="7" t="s">
        <v>11</v>
      </c>
      <c r="G90" s="25">
        <v>85.5</v>
      </c>
      <c r="H90" s="8" t="s">
        <v>12</v>
      </c>
    </row>
    <row r="91" spans="1:15" ht="18.75" customHeight="1" x14ac:dyDescent="0.3">
      <c r="A91" s="5">
        <v>1</v>
      </c>
      <c r="B91" s="6">
        <v>45688</v>
      </c>
      <c r="C91" s="7" t="s">
        <v>19</v>
      </c>
      <c r="D91" s="8" t="s">
        <v>20</v>
      </c>
      <c r="E91" s="7" t="s">
        <v>21</v>
      </c>
      <c r="F91" s="7" t="s">
        <v>11</v>
      </c>
      <c r="G91" s="26">
        <v>4.04</v>
      </c>
      <c r="H91" s="8" t="s">
        <v>12</v>
      </c>
    </row>
    <row r="92" spans="1:15" ht="18.75" customHeight="1" x14ac:dyDescent="0.3">
      <c r="A92" s="5">
        <v>1</v>
      </c>
      <c r="B92" s="6">
        <v>45688</v>
      </c>
      <c r="C92" s="7" t="s">
        <v>19</v>
      </c>
      <c r="D92" s="8" t="s">
        <v>22</v>
      </c>
      <c r="E92" s="7" t="s">
        <v>23</v>
      </c>
      <c r="F92" s="7" t="s">
        <v>11</v>
      </c>
      <c r="G92" s="26">
        <v>73.739999999999995</v>
      </c>
      <c r="H92" s="8" t="s">
        <v>12</v>
      </c>
    </row>
    <row r="93" spans="1:15" ht="18.75" customHeight="1" x14ac:dyDescent="0.3">
      <c r="A93" s="12">
        <v>1</v>
      </c>
      <c r="B93" s="6">
        <v>45688</v>
      </c>
      <c r="C93" s="7" t="s">
        <v>19</v>
      </c>
      <c r="D93" s="8" t="s">
        <v>26</v>
      </c>
      <c r="E93" s="7" t="s">
        <v>27</v>
      </c>
      <c r="F93" s="7" t="s">
        <v>11</v>
      </c>
      <c r="G93" s="26">
        <v>111.10999999999999</v>
      </c>
      <c r="H93" s="8" t="s">
        <v>12</v>
      </c>
    </row>
    <row r="94" spans="1:15" ht="18.75" customHeight="1" x14ac:dyDescent="0.3">
      <c r="A94" s="5">
        <v>1</v>
      </c>
      <c r="B94" s="6">
        <v>45688</v>
      </c>
      <c r="C94" s="7" t="s">
        <v>19</v>
      </c>
      <c r="D94" s="8" t="s">
        <v>28</v>
      </c>
      <c r="E94" s="7" t="s">
        <v>29</v>
      </c>
      <c r="F94" s="7" t="s">
        <v>11</v>
      </c>
      <c r="G94" s="26">
        <v>297.79000000000002</v>
      </c>
      <c r="H94" s="8" t="s">
        <v>12</v>
      </c>
    </row>
    <row r="95" spans="1:15" ht="18.75" customHeight="1" x14ac:dyDescent="0.3">
      <c r="A95" s="5">
        <v>1</v>
      </c>
      <c r="B95" s="6">
        <v>45688</v>
      </c>
      <c r="C95" s="7" t="s">
        <v>19</v>
      </c>
      <c r="D95" s="8" t="s">
        <v>30</v>
      </c>
      <c r="E95" s="7" t="s">
        <v>31</v>
      </c>
      <c r="F95" s="7" t="s">
        <v>11</v>
      </c>
      <c r="G95" s="26">
        <v>70</v>
      </c>
      <c r="H95" s="8" t="s">
        <v>12</v>
      </c>
    </row>
    <row r="96" spans="1:15" ht="18.75" customHeight="1" x14ac:dyDescent="0.3">
      <c r="A96" s="5">
        <v>1</v>
      </c>
      <c r="B96" s="6">
        <v>45688</v>
      </c>
      <c r="C96" s="7" t="s">
        <v>8</v>
      </c>
      <c r="D96" s="8" t="s">
        <v>34</v>
      </c>
      <c r="E96" s="7" t="s">
        <v>10</v>
      </c>
      <c r="F96" s="7" t="s">
        <v>33</v>
      </c>
      <c r="G96" s="25">
        <v>436.34</v>
      </c>
      <c r="H96" s="8" t="s">
        <v>12</v>
      </c>
    </row>
    <row r="97" spans="1:8" ht="18.75" customHeight="1" x14ac:dyDescent="0.3">
      <c r="A97" s="5">
        <v>1</v>
      </c>
      <c r="B97" s="6">
        <v>45688</v>
      </c>
      <c r="C97" s="7" t="s">
        <v>19</v>
      </c>
      <c r="D97" s="8" t="s">
        <v>35</v>
      </c>
      <c r="E97" s="7" t="s">
        <v>36</v>
      </c>
      <c r="F97" s="7" t="s">
        <v>11</v>
      </c>
      <c r="G97" s="26">
        <v>177.25</v>
      </c>
      <c r="H97" s="8" t="s">
        <v>12</v>
      </c>
    </row>
    <row r="98" spans="1:8" ht="18.75" customHeight="1" x14ac:dyDescent="0.3">
      <c r="A98" s="5">
        <v>1</v>
      </c>
      <c r="B98" s="6">
        <v>45688</v>
      </c>
      <c r="C98" s="7" t="s">
        <v>19</v>
      </c>
      <c r="D98" s="8" t="s">
        <v>37</v>
      </c>
      <c r="E98" s="7" t="s">
        <v>38</v>
      </c>
      <c r="F98" s="7" t="s">
        <v>33</v>
      </c>
      <c r="G98" s="27">
        <v>1025.23</v>
      </c>
      <c r="H98" s="8" t="s">
        <v>12</v>
      </c>
    </row>
    <row r="99" spans="1:8" ht="18.75" customHeight="1" x14ac:dyDescent="0.3">
      <c r="A99" s="5">
        <v>1</v>
      </c>
      <c r="B99" s="6">
        <v>45688</v>
      </c>
      <c r="C99" s="7" t="s">
        <v>19</v>
      </c>
      <c r="D99" s="8" t="s">
        <v>39</v>
      </c>
      <c r="E99" s="7" t="s">
        <v>40</v>
      </c>
      <c r="F99" s="7" t="s">
        <v>11</v>
      </c>
      <c r="G99" s="26">
        <v>104.77</v>
      </c>
      <c r="H99" s="8" t="s">
        <v>12</v>
      </c>
    </row>
    <row r="100" spans="1:8" ht="18.75" customHeight="1" x14ac:dyDescent="0.3">
      <c r="A100" s="5">
        <v>1</v>
      </c>
      <c r="B100" s="6">
        <v>45688</v>
      </c>
      <c r="C100" s="7" t="s">
        <v>19</v>
      </c>
      <c r="D100" s="8" t="s">
        <v>44</v>
      </c>
      <c r="E100" s="7" t="s">
        <v>45</v>
      </c>
      <c r="F100" s="7" t="s">
        <v>11</v>
      </c>
      <c r="G100" s="26">
        <v>33.71</v>
      </c>
      <c r="H100" s="8" t="s">
        <v>12</v>
      </c>
    </row>
    <row r="101" spans="1:8" ht="18.75" customHeight="1" x14ac:dyDescent="0.3">
      <c r="A101" s="5">
        <v>1</v>
      </c>
      <c r="B101" s="6">
        <v>45688</v>
      </c>
      <c r="C101" s="7" t="s">
        <v>19</v>
      </c>
      <c r="D101" s="8" t="s">
        <v>47</v>
      </c>
      <c r="E101" s="7" t="s">
        <v>48</v>
      </c>
      <c r="F101" s="7" t="s">
        <v>11</v>
      </c>
      <c r="G101" s="26">
        <v>100.47</v>
      </c>
      <c r="H101" s="8" t="s">
        <v>12</v>
      </c>
    </row>
    <row r="102" spans="1:8" ht="18.75" customHeight="1" x14ac:dyDescent="0.3">
      <c r="A102" s="5">
        <v>1</v>
      </c>
      <c r="B102" s="6">
        <v>45694</v>
      </c>
      <c r="C102" s="7" t="s">
        <v>8</v>
      </c>
      <c r="D102" s="8" t="s">
        <v>24</v>
      </c>
      <c r="E102" s="7" t="s">
        <v>10</v>
      </c>
      <c r="F102" s="7" t="s">
        <v>11</v>
      </c>
      <c r="G102" s="25">
        <v>298.06</v>
      </c>
      <c r="H102" s="8" t="s">
        <v>12</v>
      </c>
    </row>
    <row r="103" spans="1:8" ht="18.75" customHeight="1" x14ac:dyDescent="0.3">
      <c r="A103" s="5">
        <v>1</v>
      </c>
      <c r="B103" s="6">
        <v>45716</v>
      </c>
      <c r="C103" s="7" t="s">
        <v>19</v>
      </c>
      <c r="D103" s="8" t="s">
        <v>20</v>
      </c>
      <c r="E103" s="7" t="s">
        <v>21</v>
      </c>
      <c r="F103" s="7" t="s">
        <v>11</v>
      </c>
      <c r="G103" s="26">
        <v>10.4</v>
      </c>
      <c r="H103" s="8" t="s">
        <v>12</v>
      </c>
    </row>
    <row r="104" spans="1:8" ht="18.75" customHeight="1" x14ac:dyDescent="0.3">
      <c r="A104" s="5">
        <v>1</v>
      </c>
      <c r="B104" s="6">
        <v>45716</v>
      </c>
      <c r="C104" s="7" t="s">
        <v>19</v>
      </c>
      <c r="D104" s="8" t="s">
        <v>22</v>
      </c>
      <c r="E104" s="7" t="s">
        <v>23</v>
      </c>
      <c r="F104" s="7" t="s">
        <v>11</v>
      </c>
      <c r="G104" s="26">
        <v>23.009999999999998</v>
      </c>
      <c r="H104" s="8" t="s">
        <v>12</v>
      </c>
    </row>
    <row r="105" spans="1:8" ht="18.75" customHeight="1" x14ac:dyDescent="0.3">
      <c r="A105" s="12">
        <v>1</v>
      </c>
      <c r="B105" s="6">
        <v>45716</v>
      </c>
      <c r="C105" s="7" t="s">
        <v>19</v>
      </c>
      <c r="D105" s="8" t="s">
        <v>26</v>
      </c>
      <c r="E105" s="7" t="s">
        <v>27</v>
      </c>
      <c r="F105" s="7" t="s">
        <v>11</v>
      </c>
      <c r="G105" s="26">
        <v>140.82</v>
      </c>
      <c r="H105" s="8" t="s">
        <v>12</v>
      </c>
    </row>
    <row r="106" spans="1:8" ht="18.75" customHeight="1" x14ac:dyDescent="0.3">
      <c r="A106" s="5">
        <v>1</v>
      </c>
      <c r="B106" s="6">
        <v>45716</v>
      </c>
      <c r="C106" s="7" t="s">
        <v>19</v>
      </c>
      <c r="D106" s="8" t="s">
        <v>28</v>
      </c>
      <c r="E106" s="7" t="s">
        <v>29</v>
      </c>
      <c r="F106" s="7" t="s">
        <v>11</v>
      </c>
      <c r="G106" s="26">
        <v>294</v>
      </c>
      <c r="H106" s="8" t="s">
        <v>12</v>
      </c>
    </row>
    <row r="107" spans="1:8" ht="18.75" customHeight="1" x14ac:dyDescent="0.3">
      <c r="A107" s="5">
        <v>1</v>
      </c>
      <c r="B107" s="6">
        <v>45716</v>
      </c>
      <c r="C107" s="7" t="s">
        <v>19</v>
      </c>
      <c r="D107" s="8" t="s">
        <v>30</v>
      </c>
      <c r="E107" s="7" t="s">
        <v>31</v>
      </c>
      <c r="F107" s="7" t="s">
        <v>11</v>
      </c>
      <c r="G107" s="26">
        <v>81.91</v>
      </c>
      <c r="H107" s="8" t="s">
        <v>12</v>
      </c>
    </row>
    <row r="108" spans="1:8" ht="18.75" customHeight="1" x14ac:dyDescent="0.3">
      <c r="A108" s="5">
        <v>1</v>
      </c>
      <c r="B108" s="6">
        <v>45716</v>
      </c>
      <c r="C108" s="7" t="s">
        <v>8</v>
      </c>
      <c r="D108" s="8" t="s">
        <v>34</v>
      </c>
      <c r="E108" s="7" t="s">
        <v>10</v>
      </c>
      <c r="F108" s="7" t="s">
        <v>33</v>
      </c>
      <c r="G108" s="25">
        <v>650.47</v>
      </c>
      <c r="H108" s="8" t="s">
        <v>12</v>
      </c>
    </row>
    <row r="109" spans="1:8" ht="18.75" customHeight="1" x14ac:dyDescent="0.3">
      <c r="A109" s="5">
        <v>1</v>
      </c>
      <c r="B109" s="6">
        <v>45716</v>
      </c>
      <c r="C109" s="7" t="s">
        <v>19</v>
      </c>
      <c r="D109" s="8" t="s">
        <v>35</v>
      </c>
      <c r="E109" s="7" t="s">
        <v>36</v>
      </c>
      <c r="F109" s="7" t="s">
        <v>11</v>
      </c>
      <c r="G109" s="26">
        <v>190.5</v>
      </c>
      <c r="H109" s="8" t="s">
        <v>12</v>
      </c>
    </row>
    <row r="110" spans="1:8" ht="18.75" customHeight="1" x14ac:dyDescent="0.3">
      <c r="A110" s="5">
        <v>1</v>
      </c>
      <c r="B110" s="6">
        <v>45716</v>
      </c>
      <c r="C110" s="7" t="s">
        <v>19</v>
      </c>
      <c r="D110" s="8" t="s">
        <v>37</v>
      </c>
      <c r="E110" s="7" t="s">
        <v>38</v>
      </c>
      <c r="F110" s="7" t="s">
        <v>33</v>
      </c>
      <c r="G110" s="27">
        <v>1025.23</v>
      </c>
      <c r="H110" s="8" t="s">
        <v>12</v>
      </c>
    </row>
    <row r="111" spans="1:8" ht="18.75" customHeight="1" x14ac:dyDescent="0.3">
      <c r="A111" s="5">
        <v>1</v>
      </c>
      <c r="B111" s="6">
        <v>45716</v>
      </c>
      <c r="C111" s="7" t="s">
        <v>19</v>
      </c>
      <c r="D111" s="8" t="s">
        <v>39</v>
      </c>
      <c r="E111" s="7" t="s">
        <v>40</v>
      </c>
      <c r="F111" s="7" t="s">
        <v>11</v>
      </c>
      <c r="G111" s="26">
        <v>-261.26</v>
      </c>
      <c r="H111" s="8" t="s">
        <v>12</v>
      </c>
    </row>
    <row r="112" spans="1:8" ht="18.75" customHeight="1" x14ac:dyDescent="0.3">
      <c r="A112" s="5">
        <v>1</v>
      </c>
      <c r="B112" s="6">
        <v>45716</v>
      </c>
      <c r="C112" s="7" t="s">
        <v>19</v>
      </c>
      <c r="D112" s="8" t="s">
        <v>44</v>
      </c>
      <c r="E112" s="7" t="s">
        <v>45</v>
      </c>
      <c r="F112" s="7" t="s">
        <v>11</v>
      </c>
      <c r="G112" s="26">
        <v>9.65</v>
      </c>
      <c r="H112" s="8" t="s">
        <v>12</v>
      </c>
    </row>
    <row r="113" spans="1:8" ht="18.75" customHeight="1" x14ac:dyDescent="0.3">
      <c r="A113" s="5">
        <v>1</v>
      </c>
      <c r="B113" s="6">
        <v>45716</v>
      </c>
      <c r="C113" s="7" t="s">
        <v>19</v>
      </c>
      <c r="D113" s="8" t="s">
        <v>47</v>
      </c>
      <c r="E113" s="7" t="s">
        <v>48</v>
      </c>
      <c r="F113" s="7" t="s">
        <v>11</v>
      </c>
      <c r="G113" s="26">
        <v>348.63</v>
      </c>
      <c r="H113" s="8" t="s">
        <v>12</v>
      </c>
    </row>
    <row r="114" spans="1:8" ht="18.75" customHeight="1" x14ac:dyDescent="0.3">
      <c r="A114" s="5">
        <v>1</v>
      </c>
      <c r="B114" s="6">
        <v>45747</v>
      </c>
      <c r="C114" s="7" t="s">
        <v>19</v>
      </c>
      <c r="D114" s="8" t="s">
        <v>20</v>
      </c>
      <c r="E114" s="7" t="s">
        <v>21</v>
      </c>
      <c r="F114" s="7" t="s">
        <v>11</v>
      </c>
      <c r="G114" s="26">
        <v>7.8</v>
      </c>
      <c r="H114" s="8" t="s">
        <v>12</v>
      </c>
    </row>
    <row r="115" spans="1:8" ht="18.75" customHeight="1" x14ac:dyDescent="0.3">
      <c r="A115" s="5">
        <v>1</v>
      </c>
      <c r="B115" s="6">
        <v>45747</v>
      </c>
      <c r="C115" s="7" t="s">
        <v>19</v>
      </c>
      <c r="D115" s="8" t="s">
        <v>22</v>
      </c>
      <c r="E115" s="7" t="s">
        <v>23</v>
      </c>
      <c r="F115" s="7" t="s">
        <v>11</v>
      </c>
      <c r="G115" s="26">
        <v>109.78</v>
      </c>
      <c r="H115" s="8" t="s">
        <v>12</v>
      </c>
    </row>
    <row r="116" spans="1:8" ht="18.75" customHeight="1" x14ac:dyDescent="0.3">
      <c r="A116" s="12">
        <v>1</v>
      </c>
      <c r="B116" s="6">
        <v>45747</v>
      </c>
      <c r="C116" s="7" t="s">
        <v>19</v>
      </c>
      <c r="D116" s="8" t="s">
        <v>26</v>
      </c>
      <c r="E116" s="7" t="s">
        <v>27</v>
      </c>
      <c r="F116" s="7" t="s">
        <v>11</v>
      </c>
      <c r="G116" s="26">
        <v>146.88999999999999</v>
      </c>
      <c r="H116" s="8" t="s">
        <v>12</v>
      </c>
    </row>
    <row r="117" spans="1:8" ht="18.75" customHeight="1" x14ac:dyDescent="0.3">
      <c r="A117" s="5">
        <v>1</v>
      </c>
      <c r="B117" s="6">
        <v>45747</v>
      </c>
      <c r="C117" s="7" t="s">
        <v>19</v>
      </c>
      <c r="D117" s="8" t="s">
        <v>28</v>
      </c>
      <c r="E117" s="7" t="s">
        <v>29</v>
      </c>
      <c r="F117" s="7" t="s">
        <v>11</v>
      </c>
      <c r="G117" s="26">
        <v>283</v>
      </c>
      <c r="H117" s="8" t="s">
        <v>12</v>
      </c>
    </row>
    <row r="118" spans="1:8" ht="18.75" customHeight="1" x14ac:dyDescent="0.3">
      <c r="A118" s="5">
        <v>1</v>
      </c>
      <c r="B118" s="6">
        <v>45747</v>
      </c>
      <c r="C118" s="7" t="s">
        <v>19</v>
      </c>
      <c r="D118" s="8" t="s">
        <v>35</v>
      </c>
      <c r="E118" s="7" t="s">
        <v>36</v>
      </c>
      <c r="F118" s="7" t="s">
        <v>11</v>
      </c>
      <c r="G118" s="26">
        <v>305.67</v>
      </c>
      <c r="H118" s="8" t="s">
        <v>12</v>
      </c>
    </row>
    <row r="119" spans="1:8" ht="18.75" customHeight="1" x14ac:dyDescent="0.3">
      <c r="A119" s="5">
        <v>1</v>
      </c>
      <c r="B119" s="6">
        <v>45747</v>
      </c>
      <c r="C119" s="7" t="s">
        <v>19</v>
      </c>
      <c r="D119" s="8" t="s">
        <v>37</v>
      </c>
      <c r="E119" s="7" t="s">
        <v>38</v>
      </c>
      <c r="F119" s="7" t="s">
        <v>33</v>
      </c>
      <c r="G119" s="27">
        <v>1025.23</v>
      </c>
      <c r="H119" s="8" t="s">
        <v>12</v>
      </c>
    </row>
    <row r="120" spans="1:8" ht="18.75" customHeight="1" x14ac:dyDescent="0.3">
      <c r="A120" s="5">
        <v>1</v>
      </c>
      <c r="B120" s="6">
        <v>45747</v>
      </c>
      <c r="C120" s="7" t="s">
        <v>19</v>
      </c>
      <c r="D120" s="8" t="s">
        <v>39</v>
      </c>
      <c r="E120" s="7" t="s">
        <v>40</v>
      </c>
      <c r="F120" s="7" t="s">
        <v>11</v>
      </c>
      <c r="G120" s="26">
        <v>-54.55</v>
      </c>
      <c r="H120" s="8" t="s">
        <v>12</v>
      </c>
    </row>
    <row r="121" spans="1:8" ht="18.75" customHeight="1" x14ac:dyDescent="0.3">
      <c r="A121" s="5">
        <v>1</v>
      </c>
      <c r="B121" s="6">
        <v>45747</v>
      </c>
      <c r="C121" s="7" t="s">
        <v>19</v>
      </c>
      <c r="D121" s="8" t="s">
        <v>47</v>
      </c>
      <c r="E121" s="7" t="s">
        <v>48</v>
      </c>
      <c r="F121" s="7" t="s">
        <v>11</v>
      </c>
      <c r="G121" s="26">
        <v>381.3</v>
      </c>
      <c r="H121" s="8" t="s">
        <v>12</v>
      </c>
    </row>
    <row r="122" spans="1:8" ht="18.75" customHeight="1" x14ac:dyDescent="0.3">
      <c r="A122" s="5">
        <v>1</v>
      </c>
      <c r="B122" s="6">
        <v>45777</v>
      </c>
      <c r="C122" s="7" t="s">
        <v>19</v>
      </c>
      <c r="D122" s="8" t="s">
        <v>20</v>
      </c>
      <c r="E122" s="7" t="s">
        <v>21</v>
      </c>
      <c r="F122" s="7" t="s">
        <v>11</v>
      </c>
      <c r="G122" s="26">
        <v>7.29</v>
      </c>
      <c r="H122" s="8" t="s">
        <v>12</v>
      </c>
    </row>
    <row r="123" spans="1:8" ht="18.75" customHeight="1" x14ac:dyDescent="0.3">
      <c r="A123" s="5">
        <v>1</v>
      </c>
      <c r="B123" s="6">
        <v>45777</v>
      </c>
      <c r="C123" s="7" t="s">
        <v>19</v>
      </c>
      <c r="D123" s="8" t="s">
        <v>22</v>
      </c>
      <c r="E123" s="7" t="s">
        <v>23</v>
      </c>
      <c r="F123" s="7" t="s">
        <v>11</v>
      </c>
      <c r="G123" s="26">
        <v>215.47</v>
      </c>
      <c r="H123" s="8" t="s">
        <v>12</v>
      </c>
    </row>
    <row r="124" spans="1:8" ht="18.75" customHeight="1" x14ac:dyDescent="0.3">
      <c r="A124" s="12">
        <v>1</v>
      </c>
      <c r="B124" s="6">
        <v>45777</v>
      </c>
      <c r="C124" s="7" t="s">
        <v>19</v>
      </c>
      <c r="D124" s="8" t="s">
        <v>26</v>
      </c>
      <c r="E124" s="7" t="s">
        <v>27</v>
      </c>
      <c r="F124" s="7" t="s">
        <v>11</v>
      </c>
      <c r="G124" s="26">
        <v>165.04</v>
      </c>
      <c r="H124" s="8" t="s">
        <v>12</v>
      </c>
    </row>
    <row r="125" spans="1:8" ht="18.75" customHeight="1" x14ac:dyDescent="0.3">
      <c r="A125" s="5">
        <v>1</v>
      </c>
      <c r="B125" s="6">
        <v>45777</v>
      </c>
      <c r="C125" s="7" t="s">
        <v>19</v>
      </c>
      <c r="D125" s="8" t="s">
        <v>28</v>
      </c>
      <c r="E125" s="7" t="s">
        <v>29</v>
      </c>
      <c r="F125" s="7" t="s">
        <v>11</v>
      </c>
      <c r="G125" s="26">
        <v>284</v>
      </c>
      <c r="H125" s="8" t="s">
        <v>12</v>
      </c>
    </row>
    <row r="126" spans="1:8" ht="18.75" customHeight="1" x14ac:dyDescent="0.3">
      <c r="A126" s="5">
        <v>1</v>
      </c>
      <c r="B126" s="6">
        <v>45777</v>
      </c>
      <c r="C126" s="7" t="s">
        <v>19</v>
      </c>
      <c r="D126" s="8" t="s">
        <v>30</v>
      </c>
      <c r="E126" s="7" t="s">
        <v>31</v>
      </c>
      <c r="F126" s="7" t="s">
        <v>11</v>
      </c>
      <c r="G126" s="26">
        <v>60</v>
      </c>
      <c r="H126" s="8" t="s">
        <v>12</v>
      </c>
    </row>
    <row r="127" spans="1:8" ht="18.75" customHeight="1" x14ac:dyDescent="0.3">
      <c r="A127" s="5">
        <v>1</v>
      </c>
      <c r="B127" s="6">
        <v>45777</v>
      </c>
      <c r="C127" s="7" t="s">
        <v>19</v>
      </c>
      <c r="D127" s="8" t="s">
        <v>35</v>
      </c>
      <c r="E127" s="7" t="s">
        <v>36</v>
      </c>
      <c r="F127" s="7" t="s">
        <v>11</v>
      </c>
      <c r="G127" s="26">
        <v>142.61000000000001</v>
      </c>
      <c r="H127" s="8" t="s">
        <v>12</v>
      </c>
    </row>
    <row r="128" spans="1:8" ht="18.75" customHeight="1" x14ac:dyDescent="0.3">
      <c r="A128" s="5">
        <v>1</v>
      </c>
      <c r="B128" s="6">
        <v>45777</v>
      </c>
      <c r="C128" s="7" t="s">
        <v>19</v>
      </c>
      <c r="D128" s="8" t="s">
        <v>37</v>
      </c>
      <c r="E128" s="7" t="s">
        <v>38</v>
      </c>
      <c r="F128" s="7" t="s">
        <v>33</v>
      </c>
      <c r="G128" s="27">
        <v>1115.19</v>
      </c>
      <c r="H128" s="8" t="s">
        <v>12</v>
      </c>
    </row>
    <row r="129" spans="1:8" ht="18.75" customHeight="1" x14ac:dyDescent="0.3">
      <c r="A129" s="5">
        <v>1</v>
      </c>
      <c r="B129" s="6">
        <v>45777</v>
      </c>
      <c r="C129" s="7" t="s">
        <v>19</v>
      </c>
      <c r="D129" s="8" t="s">
        <v>37</v>
      </c>
      <c r="E129" s="7" t="s">
        <v>38</v>
      </c>
      <c r="F129" s="7" t="s">
        <v>33</v>
      </c>
      <c r="G129" s="27">
        <v>1115.19</v>
      </c>
      <c r="H129" s="8" t="s">
        <v>12</v>
      </c>
    </row>
    <row r="130" spans="1:8" ht="18.75" customHeight="1" x14ac:dyDescent="0.3">
      <c r="A130" s="5">
        <v>1</v>
      </c>
      <c r="B130" s="6">
        <v>45777</v>
      </c>
      <c r="C130" s="7" t="s">
        <v>19</v>
      </c>
      <c r="D130" s="8" t="s">
        <v>39</v>
      </c>
      <c r="E130" s="7" t="s">
        <v>40</v>
      </c>
      <c r="F130" s="7" t="s">
        <v>11</v>
      </c>
      <c r="G130" s="26">
        <v>110.52999999999999</v>
      </c>
      <c r="H130" s="8" t="s">
        <v>12</v>
      </c>
    </row>
    <row r="131" spans="1:8" ht="18.75" customHeight="1" x14ac:dyDescent="0.3">
      <c r="A131" s="5">
        <v>1</v>
      </c>
      <c r="B131" s="6">
        <v>45777</v>
      </c>
      <c r="C131" s="7" t="s">
        <v>19</v>
      </c>
      <c r="D131" s="8" t="s">
        <v>44</v>
      </c>
      <c r="E131" s="7" t="s">
        <v>45</v>
      </c>
      <c r="F131" s="7" t="s">
        <v>11</v>
      </c>
      <c r="G131" s="26">
        <v>54.209999999999994</v>
      </c>
      <c r="H131" s="8" t="s">
        <v>12</v>
      </c>
    </row>
    <row r="132" spans="1:8" ht="18.75" customHeight="1" x14ac:dyDescent="0.3">
      <c r="A132" s="5">
        <v>1</v>
      </c>
      <c r="B132" s="6">
        <v>45777</v>
      </c>
      <c r="C132" s="7" t="s">
        <v>19</v>
      </c>
      <c r="D132" s="8" t="s">
        <v>47</v>
      </c>
      <c r="E132" s="7" t="s">
        <v>48</v>
      </c>
      <c r="F132" s="7" t="s">
        <v>11</v>
      </c>
      <c r="G132" s="26">
        <v>201.54000000000002</v>
      </c>
      <c r="H132" s="8" t="s">
        <v>12</v>
      </c>
    </row>
    <row r="133" spans="1:8" ht="18.75" customHeight="1" x14ac:dyDescent="0.3">
      <c r="A133" s="5">
        <v>1</v>
      </c>
      <c r="B133" s="6">
        <v>45808</v>
      </c>
      <c r="C133" s="7" t="s">
        <v>19</v>
      </c>
      <c r="D133" s="8" t="s">
        <v>22</v>
      </c>
      <c r="E133" s="7" t="s">
        <v>23</v>
      </c>
      <c r="F133" s="7" t="s">
        <v>11</v>
      </c>
      <c r="G133" s="26">
        <v>63.94</v>
      </c>
      <c r="H133" s="8" t="s">
        <v>12</v>
      </c>
    </row>
    <row r="134" spans="1:8" ht="18.75" customHeight="1" x14ac:dyDescent="0.3">
      <c r="A134" s="12">
        <v>1</v>
      </c>
      <c r="B134" s="6">
        <v>45808</v>
      </c>
      <c r="C134" s="7" t="s">
        <v>19</v>
      </c>
      <c r="D134" s="8" t="s">
        <v>26</v>
      </c>
      <c r="E134" s="7" t="s">
        <v>27</v>
      </c>
      <c r="F134" s="7" t="s">
        <v>11</v>
      </c>
      <c r="G134" s="26">
        <v>169.24999999999997</v>
      </c>
      <c r="H134" s="8" t="s">
        <v>12</v>
      </c>
    </row>
    <row r="135" spans="1:8" ht="18.75" customHeight="1" x14ac:dyDescent="0.3">
      <c r="A135" s="5">
        <v>1</v>
      </c>
      <c r="B135" s="6">
        <v>45808</v>
      </c>
      <c r="C135" s="7" t="s">
        <v>19</v>
      </c>
      <c r="D135" s="8" t="s">
        <v>28</v>
      </c>
      <c r="E135" s="7" t="s">
        <v>29</v>
      </c>
      <c r="F135" s="7" t="s">
        <v>11</v>
      </c>
      <c r="G135" s="26">
        <v>284.67</v>
      </c>
      <c r="H135" s="8" t="s">
        <v>12</v>
      </c>
    </row>
    <row r="136" spans="1:8" ht="18.75" customHeight="1" x14ac:dyDescent="0.3">
      <c r="A136" s="5">
        <v>1</v>
      </c>
      <c r="B136" s="6">
        <v>45808</v>
      </c>
      <c r="C136" s="7" t="s">
        <v>19</v>
      </c>
      <c r="D136" s="8" t="s">
        <v>30</v>
      </c>
      <c r="E136" s="7" t="s">
        <v>31</v>
      </c>
      <c r="F136" s="7" t="s">
        <v>11</v>
      </c>
      <c r="G136" s="26">
        <v>70</v>
      </c>
      <c r="H136" s="8" t="s">
        <v>12</v>
      </c>
    </row>
    <row r="137" spans="1:8" ht="18.75" customHeight="1" x14ac:dyDescent="0.3">
      <c r="A137" s="5">
        <v>1</v>
      </c>
      <c r="B137" s="6">
        <v>45808</v>
      </c>
      <c r="C137" s="7" t="s">
        <v>8</v>
      </c>
      <c r="D137" s="8" t="s">
        <v>34</v>
      </c>
      <c r="E137" s="7" t="s">
        <v>10</v>
      </c>
      <c r="F137" s="7" t="s">
        <v>33</v>
      </c>
      <c r="G137" s="25">
        <v>102.54</v>
      </c>
      <c r="H137" s="8" t="s">
        <v>12</v>
      </c>
    </row>
    <row r="138" spans="1:8" ht="18.75" customHeight="1" x14ac:dyDescent="0.3">
      <c r="A138" s="5">
        <v>1</v>
      </c>
      <c r="B138" s="6">
        <v>45808</v>
      </c>
      <c r="C138" s="7" t="s">
        <v>19</v>
      </c>
      <c r="D138" s="8" t="s">
        <v>35</v>
      </c>
      <c r="E138" s="7" t="s">
        <v>36</v>
      </c>
      <c r="F138" s="7" t="s">
        <v>11</v>
      </c>
      <c r="G138" s="26">
        <v>181.86</v>
      </c>
      <c r="H138" s="8" t="s">
        <v>12</v>
      </c>
    </row>
    <row r="139" spans="1:8" ht="18.75" customHeight="1" x14ac:dyDescent="0.3">
      <c r="A139" s="5">
        <v>1</v>
      </c>
      <c r="B139" s="6">
        <v>45808</v>
      </c>
      <c r="C139" s="7" t="s">
        <v>19</v>
      </c>
      <c r="D139" s="8" t="s">
        <v>39</v>
      </c>
      <c r="E139" s="7" t="s">
        <v>40</v>
      </c>
      <c r="F139" s="7" t="s">
        <v>11</v>
      </c>
      <c r="G139" s="26">
        <v>134.01</v>
      </c>
      <c r="H139" s="8" t="s">
        <v>12</v>
      </c>
    </row>
    <row r="140" spans="1:8" ht="18.75" customHeight="1" x14ac:dyDescent="0.3">
      <c r="A140" s="5">
        <v>1</v>
      </c>
      <c r="B140" s="6">
        <v>45808</v>
      </c>
      <c r="C140" s="7" t="s">
        <v>19</v>
      </c>
      <c r="D140" s="8" t="s">
        <v>44</v>
      </c>
      <c r="E140" s="7" t="s">
        <v>45</v>
      </c>
      <c r="F140" s="7" t="s">
        <v>11</v>
      </c>
      <c r="G140" s="26">
        <v>38.57</v>
      </c>
      <c r="H140" s="8" t="s">
        <v>12</v>
      </c>
    </row>
    <row r="141" spans="1:8" ht="18.75" customHeight="1" x14ac:dyDescent="0.3">
      <c r="A141" s="5">
        <v>1</v>
      </c>
      <c r="B141" s="6">
        <v>45808</v>
      </c>
      <c r="C141" s="7" t="s">
        <v>19</v>
      </c>
      <c r="D141" s="8" t="s">
        <v>47</v>
      </c>
      <c r="E141" s="7" t="s">
        <v>48</v>
      </c>
      <c r="F141" s="7" t="s">
        <v>11</v>
      </c>
      <c r="G141" s="26">
        <v>341.1</v>
      </c>
      <c r="H141" s="8" t="s">
        <v>12</v>
      </c>
    </row>
    <row r="142" spans="1:8" ht="18.75" customHeight="1" x14ac:dyDescent="0.3">
      <c r="A142" s="5">
        <v>1</v>
      </c>
      <c r="B142" s="6">
        <v>45838</v>
      </c>
      <c r="C142" s="7" t="s">
        <v>19</v>
      </c>
      <c r="D142" s="8" t="s">
        <v>20</v>
      </c>
      <c r="E142" s="7" t="s">
        <v>21</v>
      </c>
      <c r="F142" s="7" t="s">
        <v>11</v>
      </c>
      <c r="G142" s="26">
        <v>29.5</v>
      </c>
      <c r="H142" s="8" t="s">
        <v>12</v>
      </c>
    </row>
    <row r="143" spans="1:8" ht="18.75" customHeight="1" x14ac:dyDescent="0.3">
      <c r="A143" s="5">
        <v>1</v>
      </c>
      <c r="B143" s="6">
        <v>45838</v>
      </c>
      <c r="C143" s="7" t="s">
        <v>19</v>
      </c>
      <c r="D143" s="8" t="s">
        <v>22</v>
      </c>
      <c r="E143" s="7" t="s">
        <v>23</v>
      </c>
      <c r="F143" s="7" t="s">
        <v>11</v>
      </c>
      <c r="G143" s="26">
        <v>200.35</v>
      </c>
      <c r="H143" s="8" t="s">
        <v>12</v>
      </c>
    </row>
    <row r="144" spans="1:8" ht="18.75" customHeight="1" x14ac:dyDescent="0.3">
      <c r="A144" s="12">
        <v>1</v>
      </c>
      <c r="B144" s="6">
        <v>45838</v>
      </c>
      <c r="C144" s="7" t="s">
        <v>19</v>
      </c>
      <c r="D144" s="8" t="s">
        <v>26</v>
      </c>
      <c r="E144" s="7" t="s">
        <v>27</v>
      </c>
      <c r="F144" s="7" t="s">
        <v>11</v>
      </c>
      <c r="G144" s="26">
        <v>92.249999999999986</v>
      </c>
      <c r="H144" s="8" t="s">
        <v>12</v>
      </c>
    </row>
    <row r="145" spans="1:8" ht="18.75" customHeight="1" x14ac:dyDescent="0.3">
      <c r="A145" s="5">
        <v>1</v>
      </c>
      <c r="B145" s="6">
        <v>45838</v>
      </c>
      <c r="C145" s="7" t="s">
        <v>19</v>
      </c>
      <c r="D145" s="8" t="s">
        <v>28</v>
      </c>
      <c r="E145" s="7" t="s">
        <v>29</v>
      </c>
      <c r="F145" s="7" t="s">
        <v>11</v>
      </c>
      <c r="G145" s="26">
        <v>274</v>
      </c>
      <c r="H145" s="8" t="s">
        <v>12</v>
      </c>
    </row>
    <row r="146" spans="1:8" ht="18.75" customHeight="1" x14ac:dyDescent="0.3">
      <c r="A146" s="5">
        <v>1</v>
      </c>
      <c r="B146" s="6">
        <v>45838</v>
      </c>
      <c r="C146" s="7" t="s">
        <v>19</v>
      </c>
      <c r="D146" s="8" t="s">
        <v>35</v>
      </c>
      <c r="E146" s="7" t="s">
        <v>36</v>
      </c>
      <c r="F146" s="7" t="s">
        <v>11</v>
      </c>
      <c r="G146" s="26">
        <v>139.11000000000001</v>
      </c>
      <c r="H146" s="8" t="s">
        <v>12</v>
      </c>
    </row>
    <row r="147" spans="1:8" ht="18.75" customHeight="1" x14ac:dyDescent="0.3">
      <c r="A147" s="5">
        <v>1</v>
      </c>
      <c r="B147" s="6">
        <v>45838</v>
      </c>
      <c r="C147" s="7" t="s">
        <v>19</v>
      </c>
      <c r="D147" s="8" t="s">
        <v>37</v>
      </c>
      <c r="E147" s="7" t="s">
        <v>38</v>
      </c>
      <c r="F147" s="7" t="s">
        <v>33</v>
      </c>
      <c r="G147" s="27">
        <v>1115.19</v>
      </c>
      <c r="H147" s="8" t="s">
        <v>12</v>
      </c>
    </row>
    <row r="148" spans="1:8" ht="18.75" customHeight="1" x14ac:dyDescent="0.3">
      <c r="A148" s="5">
        <v>1</v>
      </c>
      <c r="B148" s="6">
        <v>45838</v>
      </c>
      <c r="C148" s="7" t="s">
        <v>19</v>
      </c>
      <c r="D148" s="8" t="s">
        <v>39</v>
      </c>
      <c r="E148" s="7" t="s">
        <v>40</v>
      </c>
      <c r="F148" s="7" t="s">
        <v>11</v>
      </c>
      <c r="G148" s="26">
        <v>84.68</v>
      </c>
      <c r="H148" s="8" t="s">
        <v>12</v>
      </c>
    </row>
    <row r="149" spans="1:8" ht="18.75" customHeight="1" x14ac:dyDescent="0.3">
      <c r="A149" s="5">
        <v>1</v>
      </c>
      <c r="B149" s="6">
        <v>45838</v>
      </c>
      <c r="C149" s="7" t="s">
        <v>19</v>
      </c>
      <c r="D149" s="8" t="s">
        <v>44</v>
      </c>
      <c r="E149" s="7" t="s">
        <v>45</v>
      </c>
      <c r="F149" s="7" t="s">
        <v>11</v>
      </c>
      <c r="G149" s="26">
        <v>29.22</v>
      </c>
      <c r="H149" s="8" t="s">
        <v>12</v>
      </c>
    </row>
    <row r="150" spans="1:8" ht="18.75" customHeight="1" x14ac:dyDescent="0.3">
      <c r="A150" s="5">
        <v>1</v>
      </c>
      <c r="B150" s="6">
        <v>45838</v>
      </c>
      <c r="C150" s="7" t="s">
        <v>19</v>
      </c>
      <c r="D150" s="8" t="s">
        <v>47</v>
      </c>
      <c r="E150" s="7" t="s">
        <v>48</v>
      </c>
      <c r="F150" s="7" t="s">
        <v>11</v>
      </c>
      <c r="G150" s="26">
        <v>348.8</v>
      </c>
      <c r="H150" s="8" t="s">
        <v>12</v>
      </c>
    </row>
    <row r="151" spans="1:8" ht="18.75" customHeight="1" x14ac:dyDescent="0.3">
      <c r="A151" s="5">
        <v>1</v>
      </c>
      <c r="B151" s="6">
        <v>45869</v>
      </c>
      <c r="C151" s="7" t="s">
        <v>19</v>
      </c>
      <c r="D151" s="8" t="s">
        <v>20</v>
      </c>
      <c r="E151" s="7" t="s">
        <v>21</v>
      </c>
      <c r="F151" s="7" t="s">
        <v>11</v>
      </c>
      <c r="G151" s="26">
        <v>7.67</v>
      </c>
      <c r="H151" s="8" t="s">
        <v>12</v>
      </c>
    </row>
    <row r="152" spans="1:8" ht="18.75" customHeight="1" x14ac:dyDescent="0.3">
      <c r="A152" s="5">
        <v>1</v>
      </c>
      <c r="B152" s="6">
        <v>45869</v>
      </c>
      <c r="C152" s="7" t="s">
        <v>19</v>
      </c>
      <c r="D152" s="8" t="s">
        <v>22</v>
      </c>
      <c r="E152" s="7" t="s">
        <v>23</v>
      </c>
      <c r="F152" s="7" t="s">
        <v>11</v>
      </c>
      <c r="G152" s="26">
        <v>73.97999999999999</v>
      </c>
      <c r="H152" s="8" t="s">
        <v>12</v>
      </c>
    </row>
    <row r="153" spans="1:8" ht="18.75" customHeight="1" x14ac:dyDescent="0.3">
      <c r="A153" s="12">
        <v>1</v>
      </c>
      <c r="B153" s="6">
        <v>45869</v>
      </c>
      <c r="C153" s="7" t="s">
        <v>19</v>
      </c>
      <c r="D153" s="8" t="s">
        <v>26</v>
      </c>
      <c r="E153" s="7" t="s">
        <v>27</v>
      </c>
      <c r="F153" s="7" t="s">
        <v>11</v>
      </c>
      <c r="G153" s="26">
        <v>142.59</v>
      </c>
      <c r="H153" s="8" t="s">
        <v>12</v>
      </c>
    </row>
    <row r="154" spans="1:8" ht="18.75" customHeight="1" x14ac:dyDescent="0.3">
      <c r="A154" s="5">
        <v>1</v>
      </c>
      <c r="B154" s="6">
        <v>45869</v>
      </c>
      <c r="C154" s="7" t="s">
        <v>19</v>
      </c>
      <c r="D154" s="8" t="s">
        <v>28</v>
      </c>
      <c r="E154" s="7" t="s">
        <v>29</v>
      </c>
      <c r="F154" s="7" t="s">
        <v>11</v>
      </c>
      <c r="G154" s="26">
        <v>311.03999999999996</v>
      </c>
      <c r="H154" s="8" t="s">
        <v>12</v>
      </c>
    </row>
    <row r="155" spans="1:8" ht="18.75" customHeight="1" x14ac:dyDescent="0.3">
      <c r="A155" s="5">
        <v>1</v>
      </c>
      <c r="B155" s="6">
        <v>45869</v>
      </c>
      <c r="C155" s="7" t="s">
        <v>19</v>
      </c>
      <c r="D155" s="8" t="s">
        <v>30</v>
      </c>
      <c r="E155" s="7" t="s">
        <v>31</v>
      </c>
      <c r="F155" s="7" t="s">
        <v>11</v>
      </c>
      <c r="G155" s="26">
        <v>60</v>
      </c>
      <c r="H155" s="8" t="s">
        <v>12</v>
      </c>
    </row>
    <row r="156" spans="1:8" ht="18.75" customHeight="1" x14ac:dyDescent="0.3">
      <c r="A156" s="5">
        <v>1</v>
      </c>
      <c r="B156" s="6">
        <v>45869</v>
      </c>
      <c r="C156" s="7" t="s">
        <v>8</v>
      </c>
      <c r="D156" s="8" t="s">
        <v>34</v>
      </c>
      <c r="E156" s="7" t="s">
        <v>10</v>
      </c>
      <c r="F156" s="7" t="s">
        <v>33</v>
      </c>
      <c r="G156" s="25">
        <v>248.09</v>
      </c>
      <c r="H156" s="8" t="s">
        <v>12</v>
      </c>
    </row>
    <row r="157" spans="1:8" ht="18.75" customHeight="1" x14ac:dyDescent="0.3">
      <c r="A157" s="5">
        <v>1</v>
      </c>
      <c r="B157" s="6">
        <v>45869</v>
      </c>
      <c r="C157" s="7" t="s">
        <v>19</v>
      </c>
      <c r="D157" s="8" t="s">
        <v>35</v>
      </c>
      <c r="E157" s="7" t="s">
        <v>36</v>
      </c>
      <c r="F157" s="7" t="s">
        <v>11</v>
      </c>
      <c r="G157" s="26">
        <v>159.24</v>
      </c>
      <c r="H157" s="8" t="s">
        <v>12</v>
      </c>
    </row>
    <row r="158" spans="1:8" ht="18.75" customHeight="1" x14ac:dyDescent="0.3">
      <c r="A158" s="5">
        <v>1</v>
      </c>
      <c r="B158" s="6">
        <v>45869</v>
      </c>
      <c r="C158" s="7" t="s">
        <v>19</v>
      </c>
      <c r="D158" s="8" t="s">
        <v>37</v>
      </c>
      <c r="E158" s="7" t="s">
        <v>38</v>
      </c>
      <c r="F158" s="7" t="s">
        <v>33</v>
      </c>
      <c r="G158" s="27">
        <v>1115.19</v>
      </c>
      <c r="H158" s="8" t="s">
        <v>12</v>
      </c>
    </row>
    <row r="159" spans="1:8" ht="18.75" customHeight="1" x14ac:dyDescent="0.3">
      <c r="A159" s="5">
        <v>1</v>
      </c>
      <c r="B159" s="6">
        <v>45869</v>
      </c>
      <c r="C159" s="7" t="s">
        <v>19</v>
      </c>
      <c r="D159" s="8" t="s">
        <v>39</v>
      </c>
      <c r="E159" s="7" t="s">
        <v>40</v>
      </c>
      <c r="F159" s="7" t="s">
        <v>11</v>
      </c>
      <c r="G159" s="26">
        <v>101.15999999999998</v>
      </c>
      <c r="H159" s="8" t="s">
        <v>12</v>
      </c>
    </row>
    <row r="160" spans="1:8" ht="18.75" customHeight="1" x14ac:dyDescent="0.3">
      <c r="A160" s="5">
        <v>1</v>
      </c>
      <c r="B160" s="6">
        <v>45869</v>
      </c>
      <c r="C160" s="7" t="s">
        <v>19</v>
      </c>
      <c r="D160" s="8" t="s">
        <v>44</v>
      </c>
      <c r="E160" s="7" t="s">
        <v>45</v>
      </c>
      <c r="F160" s="7" t="s">
        <v>11</v>
      </c>
      <c r="G160" s="26">
        <v>28.8</v>
      </c>
      <c r="H160" s="8" t="s">
        <v>12</v>
      </c>
    </row>
    <row r="161" spans="1:8" ht="18.75" customHeight="1" x14ac:dyDescent="0.3">
      <c r="A161" s="5">
        <v>1</v>
      </c>
      <c r="B161" s="6">
        <v>45869</v>
      </c>
      <c r="C161" s="7" t="s">
        <v>19</v>
      </c>
      <c r="D161" s="8" t="s">
        <v>47</v>
      </c>
      <c r="E161" s="7" t="s">
        <v>48</v>
      </c>
      <c r="F161" s="7" t="s">
        <v>11</v>
      </c>
      <c r="G161" s="26">
        <v>501.34000000000003</v>
      </c>
      <c r="H161" s="8" t="s">
        <v>12</v>
      </c>
    </row>
    <row r="162" spans="1:8" ht="18.75" customHeight="1" x14ac:dyDescent="0.3">
      <c r="A162" s="5">
        <v>1</v>
      </c>
      <c r="B162" s="6">
        <v>45875</v>
      </c>
      <c r="C162" s="7" t="s">
        <v>8</v>
      </c>
      <c r="D162" s="8" t="s">
        <v>25</v>
      </c>
      <c r="E162" s="7" t="s">
        <v>10</v>
      </c>
      <c r="F162" s="7" t="s">
        <v>11</v>
      </c>
      <c r="G162" s="25">
        <v>338.05</v>
      </c>
      <c r="H162" s="8" t="s">
        <v>12</v>
      </c>
    </row>
    <row r="163" spans="1:8" ht="18.75" customHeight="1" x14ac:dyDescent="0.3">
      <c r="A163" s="5">
        <v>1</v>
      </c>
      <c r="B163" s="6">
        <v>45900</v>
      </c>
      <c r="C163" s="7" t="s">
        <v>19</v>
      </c>
      <c r="D163" s="8" t="s">
        <v>20</v>
      </c>
      <c r="E163" s="7" t="s">
        <v>21</v>
      </c>
      <c r="F163" s="7" t="s">
        <v>11</v>
      </c>
      <c r="G163" s="26">
        <v>0</v>
      </c>
      <c r="H163" s="8" t="s">
        <v>12</v>
      </c>
    </row>
    <row r="164" spans="1:8" ht="18.75" customHeight="1" x14ac:dyDescent="0.3">
      <c r="A164" s="5">
        <v>1</v>
      </c>
      <c r="B164" s="6">
        <v>45900</v>
      </c>
      <c r="C164" s="7" t="s">
        <v>19</v>
      </c>
      <c r="D164" s="8" t="s">
        <v>22</v>
      </c>
      <c r="E164" s="7" t="s">
        <v>23</v>
      </c>
      <c r="F164" s="7" t="s">
        <v>11</v>
      </c>
      <c r="G164" s="26">
        <v>0</v>
      </c>
      <c r="H164" s="8" t="s">
        <v>12</v>
      </c>
    </row>
    <row r="165" spans="1:8" ht="18.75" customHeight="1" x14ac:dyDescent="0.3">
      <c r="A165" s="12">
        <v>1</v>
      </c>
      <c r="B165" s="6">
        <v>45900</v>
      </c>
      <c r="C165" s="7" t="s">
        <v>19</v>
      </c>
      <c r="D165" s="8" t="s">
        <v>26</v>
      </c>
      <c r="E165" s="7" t="s">
        <v>27</v>
      </c>
      <c r="F165" s="7" t="s">
        <v>11</v>
      </c>
      <c r="G165" s="26">
        <v>97.22</v>
      </c>
      <c r="H165" s="8" t="s">
        <v>12</v>
      </c>
    </row>
    <row r="166" spans="1:8" ht="18.75" customHeight="1" x14ac:dyDescent="0.3">
      <c r="A166" s="5">
        <v>1</v>
      </c>
      <c r="B166" s="6">
        <v>45900</v>
      </c>
      <c r="C166" s="7" t="s">
        <v>19</v>
      </c>
      <c r="D166" s="8" t="s">
        <v>28</v>
      </c>
      <c r="E166" s="7" t="s">
        <v>29</v>
      </c>
      <c r="F166" s="7" t="s">
        <v>11</v>
      </c>
      <c r="G166" s="26">
        <v>277</v>
      </c>
      <c r="H166" s="8" t="s">
        <v>12</v>
      </c>
    </row>
    <row r="167" spans="1:8" ht="18.75" customHeight="1" x14ac:dyDescent="0.3">
      <c r="A167" s="5">
        <v>1</v>
      </c>
      <c r="B167" s="6">
        <v>45900</v>
      </c>
      <c r="C167" s="7" t="s">
        <v>19</v>
      </c>
      <c r="D167" s="8" t="s">
        <v>30</v>
      </c>
      <c r="E167" s="7" t="s">
        <v>31</v>
      </c>
      <c r="F167" s="7" t="s">
        <v>11</v>
      </c>
      <c r="G167" s="26">
        <v>20</v>
      </c>
      <c r="H167" s="8" t="s">
        <v>12</v>
      </c>
    </row>
    <row r="168" spans="1:8" ht="18.75" customHeight="1" x14ac:dyDescent="0.3">
      <c r="A168" s="5">
        <v>1</v>
      </c>
      <c r="B168" s="6">
        <v>45900</v>
      </c>
      <c r="C168" s="7" t="s">
        <v>8</v>
      </c>
      <c r="D168" s="8" t="s">
        <v>34</v>
      </c>
      <c r="E168" s="7" t="s">
        <v>10</v>
      </c>
      <c r="F168" s="7" t="s">
        <v>33</v>
      </c>
      <c r="G168" s="25">
        <v>313</v>
      </c>
      <c r="H168" s="8" t="s">
        <v>12</v>
      </c>
    </row>
    <row r="169" spans="1:8" ht="18.75" customHeight="1" x14ac:dyDescent="0.3">
      <c r="A169" s="5">
        <v>1</v>
      </c>
      <c r="B169" s="6">
        <v>45900</v>
      </c>
      <c r="C169" s="7" t="s">
        <v>19</v>
      </c>
      <c r="D169" s="8" t="s">
        <v>35</v>
      </c>
      <c r="E169" s="7" t="s">
        <v>36</v>
      </c>
      <c r="F169" s="7" t="s">
        <v>11</v>
      </c>
      <c r="G169" s="26">
        <v>3.5</v>
      </c>
      <c r="H169" s="8" t="s">
        <v>12</v>
      </c>
    </row>
    <row r="170" spans="1:8" ht="18.75" customHeight="1" x14ac:dyDescent="0.3">
      <c r="A170" s="13">
        <v>1</v>
      </c>
      <c r="B170" s="14">
        <v>45900</v>
      </c>
      <c r="C170" s="15" t="s">
        <v>19</v>
      </c>
      <c r="D170" s="15" t="s">
        <v>37</v>
      </c>
      <c r="E170" s="15" t="s">
        <v>38</v>
      </c>
      <c r="F170" s="15" t="s">
        <v>33</v>
      </c>
      <c r="G170" s="28"/>
      <c r="H170" s="15" t="s">
        <v>12</v>
      </c>
    </row>
    <row r="171" spans="1:8" ht="18.75" customHeight="1" x14ac:dyDescent="0.3">
      <c r="A171" s="5">
        <v>1</v>
      </c>
      <c r="B171" s="6">
        <v>45900</v>
      </c>
      <c r="C171" s="7" t="s">
        <v>19</v>
      </c>
      <c r="D171" s="8" t="s">
        <v>39</v>
      </c>
      <c r="E171" s="7" t="s">
        <v>40</v>
      </c>
      <c r="F171" s="7" t="s">
        <v>11</v>
      </c>
      <c r="G171" s="26">
        <v>94</v>
      </c>
      <c r="H171" s="8" t="s">
        <v>12</v>
      </c>
    </row>
    <row r="172" spans="1:8" ht="18.75" customHeight="1" x14ac:dyDescent="0.3">
      <c r="A172" s="5">
        <v>1</v>
      </c>
      <c r="B172" s="6">
        <v>45900</v>
      </c>
      <c r="C172" s="7" t="s">
        <v>19</v>
      </c>
      <c r="D172" s="8" t="s">
        <v>41</v>
      </c>
      <c r="E172" s="7" t="s">
        <v>42</v>
      </c>
      <c r="F172" s="7" t="s">
        <v>11</v>
      </c>
      <c r="G172" s="26">
        <v>6.9</v>
      </c>
      <c r="H172" s="8" t="s">
        <v>12</v>
      </c>
    </row>
    <row r="173" spans="1:8" ht="18.75" customHeight="1" x14ac:dyDescent="0.3">
      <c r="A173" s="5">
        <v>1</v>
      </c>
      <c r="B173" s="6">
        <v>45900</v>
      </c>
      <c r="C173" s="7" t="s">
        <v>19</v>
      </c>
      <c r="D173" s="8" t="s">
        <v>44</v>
      </c>
      <c r="E173" s="7" t="s">
        <v>45</v>
      </c>
      <c r="F173" s="7" t="s">
        <v>11</v>
      </c>
      <c r="G173" s="26">
        <v>23.61</v>
      </c>
      <c r="H173" s="8" t="s">
        <v>12</v>
      </c>
    </row>
    <row r="174" spans="1:8" ht="18.75" customHeight="1" x14ac:dyDescent="0.3">
      <c r="A174" s="5">
        <v>1</v>
      </c>
      <c r="B174" s="6">
        <v>45900</v>
      </c>
      <c r="C174" s="7" t="s">
        <v>19</v>
      </c>
      <c r="D174" s="8" t="s">
        <v>47</v>
      </c>
      <c r="E174" s="7" t="s">
        <v>48</v>
      </c>
      <c r="F174" s="7" t="s">
        <v>11</v>
      </c>
      <c r="G174" s="26">
        <v>449.19</v>
      </c>
      <c r="H174" s="8" t="s">
        <v>12</v>
      </c>
    </row>
    <row r="175" spans="1:8" ht="18.75" customHeight="1" x14ac:dyDescent="0.3">
      <c r="A175" s="5">
        <v>1</v>
      </c>
      <c r="B175" s="6">
        <v>45930</v>
      </c>
      <c r="C175" s="7" t="s">
        <v>19</v>
      </c>
      <c r="D175" s="8" t="s">
        <v>20</v>
      </c>
      <c r="E175" s="7" t="s">
        <v>21</v>
      </c>
      <c r="F175" s="7" t="s">
        <v>11</v>
      </c>
      <c r="G175" s="25">
        <v>0</v>
      </c>
      <c r="H175" s="8" t="s">
        <v>12</v>
      </c>
    </row>
    <row r="176" spans="1:8" ht="18.75" customHeight="1" x14ac:dyDescent="0.3">
      <c r="A176" s="5">
        <v>1</v>
      </c>
      <c r="B176" s="6">
        <v>45930</v>
      </c>
      <c r="C176" s="7" t="s">
        <v>19</v>
      </c>
      <c r="D176" s="8" t="s">
        <v>22</v>
      </c>
      <c r="E176" s="7" t="s">
        <v>23</v>
      </c>
      <c r="F176" s="7" t="s">
        <v>11</v>
      </c>
      <c r="G176" s="25">
        <v>0</v>
      </c>
      <c r="H176" s="8" t="s">
        <v>12</v>
      </c>
    </row>
    <row r="177" spans="1:8" ht="18.75" customHeight="1" x14ac:dyDescent="0.3">
      <c r="A177" s="5">
        <v>1</v>
      </c>
      <c r="B177" s="6">
        <v>45930</v>
      </c>
      <c r="C177" s="7" t="s">
        <v>19</v>
      </c>
      <c r="D177" s="8" t="s">
        <v>26</v>
      </c>
      <c r="E177" s="7" t="s">
        <v>27</v>
      </c>
      <c r="F177" s="7" t="s">
        <v>11</v>
      </c>
      <c r="G177" s="25">
        <v>0</v>
      </c>
      <c r="H177" s="8" t="s">
        <v>12</v>
      </c>
    </row>
    <row r="178" spans="1:8" ht="18.75" customHeight="1" x14ac:dyDescent="0.3">
      <c r="A178" s="5">
        <v>1</v>
      </c>
      <c r="B178" s="6">
        <v>45930</v>
      </c>
      <c r="C178" s="7" t="s">
        <v>19</v>
      </c>
      <c r="D178" s="8" t="s">
        <v>28</v>
      </c>
      <c r="E178" s="7" t="s">
        <v>29</v>
      </c>
      <c r="F178" s="7" t="s">
        <v>11</v>
      </c>
      <c r="G178" s="25">
        <v>0</v>
      </c>
      <c r="H178" s="8" t="s">
        <v>12</v>
      </c>
    </row>
    <row r="179" spans="1:8" ht="18.75" customHeight="1" x14ac:dyDescent="0.3">
      <c r="A179" s="5">
        <v>1</v>
      </c>
      <c r="B179" s="6">
        <v>45930</v>
      </c>
      <c r="C179" s="7" t="s">
        <v>19</v>
      </c>
      <c r="D179" s="8" t="s">
        <v>30</v>
      </c>
      <c r="E179" s="7" t="s">
        <v>31</v>
      </c>
      <c r="F179" s="7" t="s">
        <v>11</v>
      </c>
      <c r="G179" s="25">
        <v>0</v>
      </c>
      <c r="H179" s="8" t="s">
        <v>12</v>
      </c>
    </row>
    <row r="180" spans="1:8" ht="18.75" customHeight="1" x14ac:dyDescent="0.3">
      <c r="A180" s="5">
        <v>1</v>
      </c>
      <c r="B180" s="6">
        <v>45930</v>
      </c>
      <c r="C180" s="7" t="s">
        <v>19</v>
      </c>
      <c r="D180" s="8" t="s">
        <v>35</v>
      </c>
      <c r="E180" s="7" t="s">
        <v>36</v>
      </c>
      <c r="F180" s="7" t="s">
        <v>11</v>
      </c>
      <c r="G180" s="25">
        <v>0</v>
      </c>
      <c r="H180" s="8" t="s">
        <v>12</v>
      </c>
    </row>
    <row r="181" spans="1:8" ht="18.75" customHeight="1" x14ac:dyDescent="0.3">
      <c r="A181" s="5">
        <v>1</v>
      </c>
      <c r="B181" s="6">
        <v>45930</v>
      </c>
      <c r="C181" s="7" t="s">
        <v>19</v>
      </c>
      <c r="D181" s="8" t="s">
        <v>39</v>
      </c>
      <c r="E181" s="7" t="s">
        <v>40</v>
      </c>
      <c r="F181" s="7" t="s">
        <v>11</v>
      </c>
      <c r="G181" s="25">
        <v>100</v>
      </c>
      <c r="H181" s="8" t="s">
        <v>12</v>
      </c>
    </row>
    <row r="182" spans="1:8" ht="18.75" customHeight="1" x14ac:dyDescent="0.3">
      <c r="A182" s="12">
        <v>1</v>
      </c>
      <c r="B182" s="6">
        <v>45930</v>
      </c>
      <c r="C182" s="7" t="s">
        <v>19</v>
      </c>
      <c r="D182" s="8" t="s">
        <v>44</v>
      </c>
      <c r="E182" s="7" t="s">
        <v>45</v>
      </c>
      <c r="F182" s="7" t="s">
        <v>11</v>
      </c>
      <c r="G182" s="25">
        <v>0</v>
      </c>
      <c r="H182" s="8" t="s">
        <v>12</v>
      </c>
    </row>
    <row r="183" spans="1:8" ht="18.75" customHeight="1" x14ac:dyDescent="0.3">
      <c r="A183" s="12">
        <v>1</v>
      </c>
      <c r="B183" s="6">
        <v>45930</v>
      </c>
      <c r="C183" s="7" t="s">
        <v>19</v>
      </c>
      <c r="D183" s="8" t="s">
        <v>47</v>
      </c>
      <c r="E183" s="7" t="s">
        <v>48</v>
      </c>
      <c r="F183" s="7" t="s">
        <v>11</v>
      </c>
      <c r="G183" s="25">
        <v>0</v>
      </c>
      <c r="H183" s="8" t="s">
        <v>12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DD371-E883-4FD7-B4BE-8C54F9CFB5DD}">
  <dimension ref="A1:P178"/>
  <sheetViews>
    <sheetView workbookViewId="0">
      <selection activeCell="L3" sqref="L3"/>
    </sheetView>
  </sheetViews>
  <sheetFormatPr defaultColWidth="8.88671875" defaultRowHeight="14.4" x14ac:dyDescent="0.3"/>
  <cols>
    <col min="1" max="3" width="13.33203125" style="48" customWidth="1"/>
    <col min="4" max="4" width="17.33203125" style="48" customWidth="1"/>
    <col min="5" max="6" width="13.33203125" style="48" customWidth="1"/>
    <col min="7" max="7" width="13.33203125" style="52" customWidth="1"/>
    <col min="8" max="8" width="13.33203125" style="48" customWidth="1"/>
    <col min="9" max="9" width="8.88671875" style="48"/>
    <col min="10" max="10" width="13" style="48" customWidth="1"/>
    <col min="11" max="11" width="14" style="48" bestFit="1" customWidth="1"/>
    <col min="12" max="12" width="10.5546875" style="48" bestFit="1" customWidth="1"/>
    <col min="13" max="13" width="11.88671875" style="48" bestFit="1" customWidth="1"/>
    <col min="14" max="14" width="15.33203125" style="48" bestFit="1" customWidth="1"/>
    <col min="15" max="15" width="10.88671875" style="48" bestFit="1" customWidth="1"/>
    <col min="16" max="16" width="7.6640625" style="48" bestFit="1" customWidth="1"/>
    <col min="17" max="17" width="10.5546875" style="48" bestFit="1" customWidth="1"/>
    <col min="18" max="18" width="8.88671875" style="48"/>
    <col min="19" max="19" width="10.5546875" style="48" bestFit="1" customWidth="1"/>
    <col min="20" max="16384" width="8.88671875" style="48"/>
  </cols>
  <sheetData>
    <row r="1" spans="1:13" ht="15" customHeight="1" x14ac:dyDescent="0.3">
      <c r="A1" s="44" t="s">
        <v>0</v>
      </c>
      <c r="B1" s="45" t="s">
        <v>1</v>
      </c>
      <c r="C1" s="46" t="s">
        <v>2</v>
      </c>
      <c r="D1" s="46" t="s">
        <v>3</v>
      </c>
      <c r="E1" s="46" t="s">
        <v>4</v>
      </c>
      <c r="F1" s="46" t="s">
        <v>5</v>
      </c>
      <c r="G1" s="47" t="s">
        <v>6</v>
      </c>
      <c r="H1" s="46" t="s">
        <v>7</v>
      </c>
    </row>
    <row r="2" spans="1:13" ht="15" customHeight="1" x14ac:dyDescent="0.3">
      <c r="A2" s="34">
        <v>1</v>
      </c>
      <c r="B2" s="35">
        <v>45900</v>
      </c>
      <c r="C2" s="31" t="s">
        <v>56</v>
      </c>
      <c r="D2" s="31" t="s">
        <v>56</v>
      </c>
      <c r="E2" s="31" t="s">
        <v>52</v>
      </c>
      <c r="F2" s="31" t="s">
        <v>11</v>
      </c>
      <c r="G2" s="30">
        <v>1000</v>
      </c>
      <c r="H2" s="33" t="s">
        <v>53</v>
      </c>
      <c r="J2" s="48" t="s">
        <v>72</v>
      </c>
      <c r="K2" s="52">
        <f>SUMIF(F2:F186,"Income",G2:G186)</f>
        <v>104772.43000000001</v>
      </c>
    </row>
    <row r="3" spans="1:13" ht="15" customHeight="1" x14ac:dyDescent="0.3">
      <c r="A3" s="34">
        <v>1</v>
      </c>
      <c r="B3" s="50">
        <v>45882</v>
      </c>
      <c r="C3" s="31" t="s">
        <v>50</v>
      </c>
      <c r="D3" s="31" t="s">
        <v>59</v>
      </c>
      <c r="E3" s="31" t="s">
        <v>40</v>
      </c>
      <c r="F3" s="31" t="s">
        <v>33</v>
      </c>
      <c r="G3" s="52">
        <v>4000</v>
      </c>
      <c r="H3" s="33" t="s">
        <v>53</v>
      </c>
      <c r="J3" s="48" t="s">
        <v>73</v>
      </c>
      <c r="K3" s="52">
        <f>SUMIF(F2:F186,"Expense",G2:G186)</f>
        <v>104050.40999999996</v>
      </c>
      <c r="M3" s="51"/>
    </row>
    <row r="4" spans="1:13" ht="15" customHeight="1" x14ac:dyDescent="0.3">
      <c r="A4" s="34">
        <v>1</v>
      </c>
      <c r="B4" s="35">
        <v>45875</v>
      </c>
      <c r="C4" s="31" t="s">
        <v>50</v>
      </c>
      <c r="D4" s="31" t="s">
        <v>51</v>
      </c>
      <c r="E4" s="31" t="s">
        <v>52</v>
      </c>
      <c r="F4" s="31" t="s">
        <v>11</v>
      </c>
      <c r="G4" s="30">
        <v>1000</v>
      </c>
      <c r="H4" s="33" t="s">
        <v>53</v>
      </c>
      <c r="J4" s="48" t="s">
        <v>74</v>
      </c>
      <c r="K4" s="52">
        <f>K2-K3</f>
        <v>722.02000000004773</v>
      </c>
    </row>
    <row r="5" spans="1:13" ht="15" customHeight="1" x14ac:dyDescent="0.3">
      <c r="A5" s="34">
        <v>1</v>
      </c>
      <c r="B5" s="35">
        <v>45873</v>
      </c>
      <c r="C5" s="31" t="s">
        <v>50</v>
      </c>
      <c r="D5" s="31" t="s">
        <v>51</v>
      </c>
      <c r="E5" s="31" t="s">
        <v>52</v>
      </c>
      <c r="F5" s="31" t="s">
        <v>11</v>
      </c>
      <c r="G5" s="30">
        <v>1400</v>
      </c>
      <c r="H5" s="33" t="s">
        <v>53</v>
      </c>
      <c r="K5" s="52"/>
    </row>
    <row r="6" spans="1:13" ht="15" customHeight="1" x14ac:dyDescent="0.3">
      <c r="A6" s="34">
        <v>1</v>
      </c>
      <c r="B6" s="50">
        <v>45869</v>
      </c>
      <c r="C6" s="31" t="s">
        <v>50</v>
      </c>
      <c r="D6" s="31" t="s">
        <v>68</v>
      </c>
      <c r="E6" s="31" t="s">
        <v>40</v>
      </c>
      <c r="F6" s="31" t="s">
        <v>11</v>
      </c>
      <c r="G6" s="52">
        <v>3771.9</v>
      </c>
      <c r="H6" s="33" t="s">
        <v>53</v>
      </c>
      <c r="K6" s="52"/>
    </row>
    <row r="7" spans="1:13" ht="15" customHeight="1" x14ac:dyDescent="0.3">
      <c r="A7" s="34">
        <v>1</v>
      </c>
      <c r="B7" s="50">
        <v>45869</v>
      </c>
      <c r="C7" s="31" t="s">
        <v>50</v>
      </c>
      <c r="D7" s="31" t="s">
        <v>59</v>
      </c>
      <c r="E7" s="31" t="s">
        <v>40</v>
      </c>
      <c r="F7" s="31" t="s">
        <v>33</v>
      </c>
      <c r="G7" s="30">
        <v>6500</v>
      </c>
      <c r="H7" s="33" t="s">
        <v>53</v>
      </c>
      <c r="J7" s="48" t="s">
        <v>69</v>
      </c>
      <c r="K7" s="52">
        <f>SUMIFS(G2:G186, F2:F186, "Expense", E2:E186, E168)</f>
        <v>83365.909999999974</v>
      </c>
    </row>
    <row r="8" spans="1:13" ht="15" customHeight="1" x14ac:dyDescent="0.3">
      <c r="A8" s="34">
        <v>1</v>
      </c>
      <c r="B8" s="35">
        <v>45869</v>
      </c>
      <c r="C8" s="31" t="s">
        <v>56</v>
      </c>
      <c r="D8" s="31" t="s">
        <v>56</v>
      </c>
      <c r="E8" s="31" t="s">
        <v>52</v>
      </c>
      <c r="F8" s="31" t="s">
        <v>11</v>
      </c>
      <c r="G8" s="30">
        <v>998.93</v>
      </c>
      <c r="H8" s="33" t="s">
        <v>53</v>
      </c>
      <c r="J8" s="48" t="s">
        <v>70</v>
      </c>
      <c r="K8" s="52">
        <f>SUMIFS(G2:G188, F2:F188, "Income", E2:E188, "Investments",D2:D188,"NuInvest Retirada")</f>
        <v>665.12</v>
      </c>
      <c r="M8" s="52"/>
    </row>
    <row r="9" spans="1:13" ht="15" customHeight="1" x14ac:dyDescent="0.3">
      <c r="A9" s="34">
        <v>1</v>
      </c>
      <c r="B9" s="35">
        <v>45858</v>
      </c>
      <c r="C9" s="31" t="s">
        <v>50</v>
      </c>
      <c r="D9" s="31" t="s">
        <v>51</v>
      </c>
      <c r="E9" s="31" t="s">
        <v>52</v>
      </c>
      <c r="F9" s="31" t="s">
        <v>11</v>
      </c>
      <c r="G9" s="30">
        <v>1750.86</v>
      </c>
      <c r="H9" s="33" t="s">
        <v>53</v>
      </c>
      <c r="J9" s="48" t="s">
        <v>71</v>
      </c>
      <c r="K9" s="52">
        <f>K7-K8</f>
        <v>82700.789999999979</v>
      </c>
    </row>
    <row r="10" spans="1:13" ht="15" customHeight="1" x14ac:dyDescent="0.3">
      <c r="A10" s="34">
        <v>1</v>
      </c>
      <c r="B10" s="35">
        <v>45852</v>
      </c>
      <c r="C10" s="31" t="s">
        <v>57</v>
      </c>
      <c r="D10" s="31" t="s">
        <v>57</v>
      </c>
      <c r="E10" s="31" t="s">
        <v>52</v>
      </c>
      <c r="F10" s="31" t="s">
        <v>11</v>
      </c>
      <c r="G10" s="30">
        <v>1000</v>
      </c>
      <c r="H10" s="33" t="s">
        <v>53</v>
      </c>
    </row>
    <row r="11" spans="1:13" ht="15" customHeight="1" x14ac:dyDescent="0.3">
      <c r="A11" s="34">
        <v>1</v>
      </c>
      <c r="B11" s="50">
        <v>45838</v>
      </c>
      <c r="C11" s="31" t="s">
        <v>50</v>
      </c>
      <c r="D11" s="31" t="s">
        <v>59</v>
      </c>
      <c r="E11" s="31" t="s">
        <v>40</v>
      </c>
      <c r="F11" s="31" t="s">
        <v>33</v>
      </c>
      <c r="G11" s="30">
        <v>6952.22</v>
      </c>
      <c r="H11" s="33" t="s">
        <v>53</v>
      </c>
    </row>
    <row r="12" spans="1:13" ht="15" customHeight="1" x14ac:dyDescent="0.3">
      <c r="A12" s="34">
        <v>1</v>
      </c>
      <c r="B12" s="35">
        <v>45838</v>
      </c>
      <c r="C12" s="31" t="s">
        <v>50</v>
      </c>
      <c r="D12" s="31" t="s">
        <v>51</v>
      </c>
      <c r="E12" s="31" t="s">
        <v>52</v>
      </c>
      <c r="F12" s="31" t="s">
        <v>11</v>
      </c>
      <c r="G12" s="30">
        <v>1500</v>
      </c>
      <c r="H12" s="33" t="s">
        <v>53</v>
      </c>
    </row>
    <row r="13" spans="1:13" ht="15" customHeight="1" x14ac:dyDescent="0.3">
      <c r="A13" s="34">
        <v>1</v>
      </c>
      <c r="B13" s="35">
        <v>45838</v>
      </c>
      <c r="C13" s="31" t="s">
        <v>50</v>
      </c>
      <c r="D13" s="31" t="s">
        <v>54</v>
      </c>
      <c r="E13" s="31" t="s">
        <v>52</v>
      </c>
      <c r="F13" s="31" t="s">
        <v>11</v>
      </c>
      <c r="G13" s="30">
        <v>500</v>
      </c>
      <c r="H13" s="33" t="s">
        <v>53</v>
      </c>
    </row>
    <row r="14" spans="1:13" ht="15" customHeight="1" x14ac:dyDescent="0.3">
      <c r="A14" s="34">
        <v>1</v>
      </c>
      <c r="B14" s="35">
        <v>45838</v>
      </c>
      <c r="C14" s="31" t="s">
        <v>56</v>
      </c>
      <c r="D14" s="31" t="s">
        <v>56</v>
      </c>
      <c r="E14" s="31" t="s">
        <v>52</v>
      </c>
      <c r="F14" s="31" t="s">
        <v>11</v>
      </c>
      <c r="G14" s="30">
        <v>3300</v>
      </c>
      <c r="H14" s="33" t="s">
        <v>53</v>
      </c>
      <c r="K14" s="51">
        <f>G5+G4+G2</f>
        <v>3400</v>
      </c>
    </row>
    <row r="15" spans="1:13" ht="15" customHeight="1" x14ac:dyDescent="0.3">
      <c r="A15" s="34">
        <v>1</v>
      </c>
      <c r="B15" s="35">
        <v>45830</v>
      </c>
      <c r="C15" s="31" t="s">
        <v>50</v>
      </c>
      <c r="D15" s="31" t="s">
        <v>55</v>
      </c>
      <c r="E15" s="31" t="s">
        <v>52</v>
      </c>
      <c r="F15" s="31" t="s">
        <v>11</v>
      </c>
      <c r="G15" s="30">
        <v>1000</v>
      </c>
      <c r="H15" s="33" t="s">
        <v>53</v>
      </c>
      <c r="K15" s="51">
        <f>K14*2</f>
        <v>6800</v>
      </c>
    </row>
    <row r="16" spans="1:13" ht="15" customHeight="1" x14ac:dyDescent="0.3">
      <c r="A16" s="34">
        <v>1</v>
      </c>
      <c r="B16" s="35">
        <v>45821</v>
      </c>
      <c r="C16" s="31" t="s">
        <v>50</v>
      </c>
      <c r="D16" s="31" t="s">
        <v>51</v>
      </c>
      <c r="E16" s="31" t="s">
        <v>52</v>
      </c>
      <c r="F16" s="31" t="s">
        <v>11</v>
      </c>
      <c r="G16" s="30">
        <v>800</v>
      </c>
      <c r="H16" s="33" t="s">
        <v>53</v>
      </c>
      <c r="K16" s="51"/>
    </row>
    <row r="17" spans="1:10" ht="15" customHeight="1" x14ac:dyDescent="0.3">
      <c r="A17" s="34">
        <v>1</v>
      </c>
      <c r="B17" s="35">
        <v>45810</v>
      </c>
      <c r="C17" s="31" t="s">
        <v>50</v>
      </c>
      <c r="D17" s="31" t="s">
        <v>51</v>
      </c>
      <c r="E17" s="31" t="s">
        <v>52</v>
      </c>
      <c r="F17" s="31" t="s">
        <v>11</v>
      </c>
      <c r="G17" s="30">
        <v>2000</v>
      </c>
      <c r="H17" s="33" t="s">
        <v>53</v>
      </c>
    </row>
    <row r="18" spans="1:10" ht="15" customHeight="1" x14ac:dyDescent="0.3">
      <c r="A18" s="34">
        <v>1</v>
      </c>
      <c r="B18" s="50">
        <v>45808</v>
      </c>
      <c r="C18" s="31" t="s">
        <v>50</v>
      </c>
      <c r="D18" s="31" t="s">
        <v>59</v>
      </c>
      <c r="E18" s="31" t="s">
        <v>40</v>
      </c>
      <c r="F18" s="31" t="s">
        <v>33</v>
      </c>
      <c r="G18" s="30">
        <v>6456.3</v>
      </c>
      <c r="H18" s="33" t="s">
        <v>53</v>
      </c>
    </row>
    <row r="19" spans="1:10" ht="15" customHeight="1" x14ac:dyDescent="0.3">
      <c r="A19" s="34">
        <v>1</v>
      </c>
      <c r="B19" s="35">
        <v>45808</v>
      </c>
      <c r="C19" s="31" t="s">
        <v>56</v>
      </c>
      <c r="D19" s="31" t="s">
        <v>56</v>
      </c>
      <c r="E19" s="31" t="s">
        <v>52</v>
      </c>
      <c r="F19" s="31" t="s">
        <v>11</v>
      </c>
      <c r="G19" s="30">
        <v>1200</v>
      </c>
      <c r="H19" s="33" t="s">
        <v>53</v>
      </c>
    </row>
    <row r="20" spans="1:10" ht="15" customHeight="1" x14ac:dyDescent="0.3">
      <c r="A20" s="34">
        <v>1</v>
      </c>
      <c r="B20" s="35">
        <v>45803</v>
      </c>
      <c r="C20" s="31" t="s">
        <v>50</v>
      </c>
      <c r="D20" s="31" t="s">
        <v>51</v>
      </c>
      <c r="E20" s="31" t="s">
        <v>52</v>
      </c>
      <c r="F20" s="31" t="s">
        <v>11</v>
      </c>
      <c r="G20" s="30">
        <v>1290</v>
      </c>
      <c r="H20" s="33" t="s">
        <v>53</v>
      </c>
    </row>
    <row r="21" spans="1:10" ht="15" customHeight="1" x14ac:dyDescent="0.3">
      <c r="A21" s="34">
        <v>1</v>
      </c>
      <c r="B21" s="35">
        <v>45791</v>
      </c>
      <c r="C21" s="31" t="s">
        <v>50</v>
      </c>
      <c r="D21" s="31" t="s">
        <v>51</v>
      </c>
      <c r="E21" s="31" t="s">
        <v>52</v>
      </c>
      <c r="F21" s="31" t="s">
        <v>11</v>
      </c>
      <c r="G21" s="30">
        <v>210</v>
      </c>
      <c r="H21" s="33" t="s">
        <v>53</v>
      </c>
    </row>
    <row r="22" spans="1:10" ht="15" customHeight="1" x14ac:dyDescent="0.3">
      <c r="A22" s="34">
        <v>1</v>
      </c>
      <c r="B22" s="35">
        <v>45784</v>
      </c>
      <c r="C22" s="31" t="s">
        <v>50</v>
      </c>
      <c r="D22" s="31" t="s">
        <v>51</v>
      </c>
      <c r="E22" s="31" t="s">
        <v>52</v>
      </c>
      <c r="F22" s="31" t="s">
        <v>11</v>
      </c>
      <c r="G22" s="30">
        <v>1400</v>
      </c>
      <c r="H22" s="33" t="s">
        <v>53</v>
      </c>
    </row>
    <row r="23" spans="1:10" ht="15" customHeight="1" x14ac:dyDescent="0.3">
      <c r="A23" s="34">
        <v>1</v>
      </c>
      <c r="B23" s="35">
        <v>45784</v>
      </c>
      <c r="C23" s="31" t="s">
        <v>50</v>
      </c>
      <c r="D23" s="31" t="s">
        <v>54</v>
      </c>
      <c r="E23" s="31" t="s">
        <v>52</v>
      </c>
      <c r="F23" s="31" t="s">
        <v>11</v>
      </c>
      <c r="G23" s="30">
        <v>600</v>
      </c>
      <c r="H23" s="33" t="s">
        <v>53</v>
      </c>
    </row>
    <row r="24" spans="1:10" ht="15" customHeight="1" x14ac:dyDescent="0.3">
      <c r="A24" s="34">
        <v>1</v>
      </c>
      <c r="B24" s="50">
        <v>45777</v>
      </c>
      <c r="C24" s="31" t="s">
        <v>50</v>
      </c>
      <c r="D24" s="31" t="s">
        <v>63</v>
      </c>
      <c r="E24" s="31" t="s">
        <v>38</v>
      </c>
      <c r="F24" s="31" t="s">
        <v>33</v>
      </c>
      <c r="G24" s="52">
        <v>1980</v>
      </c>
      <c r="H24" s="33" t="s">
        <v>53</v>
      </c>
    </row>
    <row r="25" spans="1:10" ht="15" customHeight="1" x14ac:dyDescent="0.3">
      <c r="A25" s="34">
        <v>1</v>
      </c>
      <c r="B25" s="50">
        <v>45777</v>
      </c>
      <c r="C25" s="31" t="s">
        <v>50</v>
      </c>
      <c r="D25" s="31" t="s">
        <v>59</v>
      </c>
      <c r="E25" s="31" t="s">
        <v>40</v>
      </c>
      <c r="F25" s="31" t="s">
        <v>33</v>
      </c>
      <c r="G25" s="30">
        <f>5322+1700</f>
        <v>7022</v>
      </c>
      <c r="H25" s="33" t="s">
        <v>53</v>
      </c>
    </row>
    <row r="26" spans="1:10" ht="15" customHeight="1" x14ac:dyDescent="0.3">
      <c r="A26" s="34">
        <v>1</v>
      </c>
      <c r="B26" s="35">
        <v>45777</v>
      </c>
      <c r="C26" s="31" t="s">
        <v>50</v>
      </c>
      <c r="D26" s="31" t="s">
        <v>51</v>
      </c>
      <c r="E26" s="31" t="s">
        <v>52</v>
      </c>
      <c r="F26" s="31" t="s">
        <v>11</v>
      </c>
      <c r="G26" s="41">
        <v>4200</v>
      </c>
      <c r="H26" s="33" t="s">
        <v>53</v>
      </c>
    </row>
    <row r="27" spans="1:10" ht="15" customHeight="1" x14ac:dyDescent="0.3">
      <c r="A27" s="34">
        <v>1</v>
      </c>
      <c r="B27" s="35">
        <v>45777</v>
      </c>
      <c r="C27" s="31" t="s">
        <v>50</v>
      </c>
      <c r="D27" s="31" t="s">
        <v>54</v>
      </c>
      <c r="E27" s="31" t="s">
        <v>52</v>
      </c>
      <c r="F27" s="31" t="s">
        <v>11</v>
      </c>
      <c r="G27" s="30">
        <v>1150</v>
      </c>
      <c r="H27" s="33" t="s">
        <v>53</v>
      </c>
    </row>
    <row r="28" spans="1:10" ht="15" customHeight="1" x14ac:dyDescent="0.3">
      <c r="A28" s="34">
        <v>1</v>
      </c>
      <c r="B28" s="35">
        <v>45777</v>
      </c>
      <c r="C28" s="31" t="s">
        <v>56</v>
      </c>
      <c r="D28" s="31" t="s">
        <v>56</v>
      </c>
      <c r="E28" s="31" t="s">
        <v>52</v>
      </c>
      <c r="F28" s="31" t="s">
        <v>11</v>
      </c>
      <c r="G28" s="30">
        <v>2500</v>
      </c>
      <c r="H28" s="33" t="s">
        <v>53</v>
      </c>
    </row>
    <row r="29" spans="1:10" ht="15" customHeight="1" x14ac:dyDescent="0.3">
      <c r="A29" s="34">
        <v>1</v>
      </c>
      <c r="B29" s="35">
        <v>45776</v>
      </c>
      <c r="C29" s="31" t="s">
        <v>57</v>
      </c>
      <c r="D29" s="31" t="s">
        <v>57</v>
      </c>
      <c r="E29" s="31" t="s">
        <v>52</v>
      </c>
      <c r="F29" s="31" t="s">
        <v>11</v>
      </c>
      <c r="G29" s="30">
        <v>300</v>
      </c>
      <c r="H29" s="33" t="s">
        <v>53</v>
      </c>
    </row>
    <row r="30" spans="1:10" ht="15" customHeight="1" x14ac:dyDescent="0.3">
      <c r="A30" s="34">
        <v>1</v>
      </c>
      <c r="B30" s="35">
        <v>45776</v>
      </c>
      <c r="C30" s="31" t="s">
        <v>57</v>
      </c>
      <c r="D30" s="31" t="s">
        <v>57</v>
      </c>
      <c r="E30" s="31" t="s">
        <v>52</v>
      </c>
      <c r="F30" s="31" t="s">
        <v>11</v>
      </c>
      <c r="G30" s="30">
        <v>300</v>
      </c>
      <c r="H30" s="33" t="s">
        <v>53</v>
      </c>
    </row>
    <row r="31" spans="1:10" ht="15" customHeight="1" x14ac:dyDescent="0.3">
      <c r="A31" s="34">
        <v>1</v>
      </c>
      <c r="B31" s="35">
        <v>45763</v>
      </c>
      <c r="C31" s="31" t="s">
        <v>57</v>
      </c>
      <c r="D31" s="31" t="s">
        <v>57</v>
      </c>
      <c r="E31" s="31" t="s">
        <v>52</v>
      </c>
      <c r="F31" s="31" t="s">
        <v>11</v>
      </c>
      <c r="G31" s="30">
        <v>750</v>
      </c>
      <c r="H31" s="33" t="s">
        <v>53</v>
      </c>
      <c r="J31" s="49"/>
    </row>
    <row r="32" spans="1:10" ht="15" customHeight="1" x14ac:dyDescent="0.3">
      <c r="A32" s="34">
        <v>1</v>
      </c>
      <c r="B32" s="35">
        <v>45751</v>
      </c>
      <c r="C32" s="31" t="s">
        <v>57</v>
      </c>
      <c r="D32" s="31" t="s">
        <v>57</v>
      </c>
      <c r="E32" s="31" t="s">
        <v>52</v>
      </c>
      <c r="F32" s="31" t="s">
        <v>11</v>
      </c>
      <c r="G32" s="30">
        <v>500</v>
      </c>
      <c r="H32" s="33" t="s">
        <v>53</v>
      </c>
    </row>
    <row r="33" spans="1:11" ht="15" customHeight="1" x14ac:dyDescent="0.3">
      <c r="A33" s="34">
        <v>1</v>
      </c>
      <c r="B33" s="50">
        <v>45747</v>
      </c>
      <c r="C33" s="31" t="s">
        <v>50</v>
      </c>
      <c r="D33" s="31" t="s">
        <v>59</v>
      </c>
      <c r="E33" s="31" t="s">
        <v>40</v>
      </c>
      <c r="F33" s="31" t="s">
        <v>33</v>
      </c>
      <c r="G33" s="30">
        <f>5422.3+(4741.6-4241.6)</f>
        <v>5922.3</v>
      </c>
      <c r="H33" s="33" t="s">
        <v>53</v>
      </c>
      <c r="K33" s="51"/>
    </row>
    <row r="34" spans="1:11" ht="15" customHeight="1" x14ac:dyDescent="0.3">
      <c r="A34" s="34">
        <v>1</v>
      </c>
      <c r="B34" s="35">
        <v>45747</v>
      </c>
      <c r="C34" s="31" t="s">
        <v>57</v>
      </c>
      <c r="D34" s="31" t="s">
        <v>57</v>
      </c>
      <c r="E34" s="31" t="s">
        <v>52</v>
      </c>
      <c r="F34" s="31" t="s">
        <v>11</v>
      </c>
      <c r="G34" s="30">
        <v>500</v>
      </c>
      <c r="H34" s="33" t="s">
        <v>53</v>
      </c>
    </row>
    <row r="35" spans="1:11" ht="15" customHeight="1" x14ac:dyDescent="0.3">
      <c r="A35" s="34">
        <v>1</v>
      </c>
      <c r="B35" s="35">
        <v>45747</v>
      </c>
      <c r="C35" s="31" t="s">
        <v>50</v>
      </c>
      <c r="D35" s="31" t="s">
        <v>51</v>
      </c>
      <c r="E35" s="31" t="s">
        <v>52</v>
      </c>
      <c r="F35" s="31" t="s">
        <v>11</v>
      </c>
      <c r="G35" s="41">
        <v>2625</v>
      </c>
      <c r="H35" s="33" t="s">
        <v>53</v>
      </c>
    </row>
    <row r="36" spans="1:11" ht="15" customHeight="1" x14ac:dyDescent="0.3">
      <c r="A36" s="34">
        <v>1</v>
      </c>
      <c r="B36" s="35">
        <v>45747</v>
      </c>
      <c r="C36" s="31" t="s">
        <v>50</v>
      </c>
      <c r="D36" s="31" t="s">
        <v>54</v>
      </c>
      <c r="E36" s="31" t="s">
        <v>52</v>
      </c>
      <c r="F36" s="31" t="s">
        <v>11</v>
      </c>
      <c r="G36" s="30">
        <v>625</v>
      </c>
      <c r="H36" s="33" t="s">
        <v>53</v>
      </c>
    </row>
    <row r="37" spans="1:11" ht="15" customHeight="1" x14ac:dyDescent="0.3">
      <c r="A37" s="34">
        <v>1</v>
      </c>
      <c r="B37" s="35">
        <v>45747</v>
      </c>
      <c r="C37" s="31" t="s">
        <v>56</v>
      </c>
      <c r="D37" s="31" t="s">
        <v>56</v>
      </c>
      <c r="E37" s="31" t="s">
        <v>52</v>
      </c>
      <c r="F37" s="31" t="s">
        <v>11</v>
      </c>
      <c r="G37" s="30">
        <v>991.6</v>
      </c>
      <c r="H37" s="33" t="s">
        <v>53</v>
      </c>
    </row>
    <row r="38" spans="1:11" ht="15" customHeight="1" x14ac:dyDescent="0.3">
      <c r="A38" s="34">
        <v>1</v>
      </c>
      <c r="B38" s="50">
        <v>45716</v>
      </c>
      <c r="C38" s="31" t="s">
        <v>50</v>
      </c>
      <c r="D38" s="31" t="s">
        <v>63</v>
      </c>
      <c r="E38" s="31" t="s">
        <v>38</v>
      </c>
      <c r="F38" s="31" t="s">
        <v>33</v>
      </c>
      <c r="G38" s="52">
        <v>1200</v>
      </c>
      <c r="H38" s="33" t="s">
        <v>53</v>
      </c>
    </row>
    <row r="39" spans="1:11" ht="15" customHeight="1" x14ac:dyDescent="0.3">
      <c r="A39" s="34">
        <v>1</v>
      </c>
      <c r="B39" s="50">
        <v>45716</v>
      </c>
      <c r="C39" s="31" t="s">
        <v>50</v>
      </c>
      <c r="D39" s="31" t="s">
        <v>59</v>
      </c>
      <c r="E39" s="31" t="s">
        <v>40</v>
      </c>
      <c r="F39" s="31" t="s">
        <v>33</v>
      </c>
      <c r="G39" s="30">
        <v>3200</v>
      </c>
      <c r="H39" s="33" t="s">
        <v>53</v>
      </c>
    </row>
    <row r="40" spans="1:11" ht="15" customHeight="1" x14ac:dyDescent="0.3">
      <c r="A40" s="34">
        <v>1</v>
      </c>
      <c r="B40" s="35">
        <v>45716</v>
      </c>
      <c r="C40" s="31" t="s">
        <v>50</v>
      </c>
      <c r="D40" s="31" t="s">
        <v>51</v>
      </c>
      <c r="E40" s="31" t="s">
        <v>52</v>
      </c>
      <c r="F40" s="31" t="s">
        <v>11</v>
      </c>
      <c r="G40" s="41">
        <v>1950</v>
      </c>
      <c r="H40" s="33" t="s">
        <v>53</v>
      </c>
    </row>
    <row r="41" spans="1:11" ht="15" customHeight="1" x14ac:dyDescent="0.3">
      <c r="A41" s="34">
        <v>1</v>
      </c>
      <c r="B41" s="35">
        <v>45716</v>
      </c>
      <c r="C41" s="31" t="s">
        <v>56</v>
      </c>
      <c r="D41" s="31" t="s">
        <v>56</v>
      </c>
      <c r="E41" s="31" t="s">
        <v>52</v>
      </c>
      <c r="F41" s="31" t="s">
        <v>11</v>
      </c>
      <c r="G41" s="30">
        <v>1200</v>
      </c>
      <c r="H41" s="33" t="s">
        <v>53</v>
      </c>
    </row>
    <row r="42" spans="1:11" ht="15" customHeight="1" x14ac:dyDescent="0.3">
      <c r="A42" s="34">
        <v>1</v>
      </c>
      <c r="B42" s="50">
        <v>45688</v>
      </c>
      <c r="C42" s="31" t="s">
        <v>50</v>
      </c>
      <c r="D42" s="31" t="s">
        <v>63</v>
      </c>
      <c r="E42" s="31" t="s">
        <v>38</v>
      </c>
      <c r="F42" s="31" t="s">
        <v>33</v>
      </c>
      <c r="G42" s="52">
        <v>1200</v>
      </c>
      <c r="H42" s="33" t="s">
        <v>53</v>
      </c>
    </row>
    <row r="43" spans="1:11" ht="15" customHeight="1" x14ac:dyDescent="0.3">
      <c r="A43" s="34">
        <v>1</v>
      </c>
      <c r="B43" s="50">
        <v>45688</v>
      </c>
      <c r="C43" s="31" t="s">
        <v>50</v>
      </c>
      <c r="D43" s="31" t="s">
        <v>59</v>
      </c>
      <c r="E43" s="31" t="s">
        <v>40</v>
      </c>
      <c r="F43" s="31" t="s">
        <v>33</v>
      </c>
      <c r="G43" s="30">
        <v>3897.39</v>
      </c>
      <c r="H43" s="33" t="s">
        <v>53</v>
      </c>
    </row>
    <row r="44" spans="1:11" ht="15" customHeight="1" x14ac:dyDescent="0.3">
      <c r="A44" s="34">
        <v>1</v>
      </c>
      <c r="B44" s="35">
        <v>45688</v>
      </c>
      <c r="C44" s="31" t="s">
        <v>50</v>
      </c>
      <c r="D44" s="31" t="s">
        <v>51</v>
      </c>
      <c r="E44" s="31" t="s">
        <v>52</v>
      </c>
      <c r="F44" s="31" t="s">
        <v>11</v>
      </c>
      <c r="G44" s="41">
        <v>1500</v>
      </c>
      <c r="H44" s="33" t="s">
        <v>53</v>
      </c>
    </row>
    <row r="45" spans="1:11" ht="15" customHeight="1" x14ac:dyDescent="0.3">
      <c r="A45" s="34">
        <v>1</v>
      </c>
      <c r="B45" s="35">
        <v>45688</v>
      </c>
      <c r="C45" s="31" t="s">
        <v>50</v>
      </c>
      <c r="D45" s="31" t="s">
        <v>54</v>
      </c>
      <c r="E45" s="31" t="s">
        <v>52</v>
      </c>
      <c r="F45" s="31" t="s">
        <v>11</v>
      </c>
      <c r="G45" s="30">
        <v>1000</v>
      </c>
      <c r="H45" s="33" t="s">
        <v>53</v>
      </c>
    </row>
    <row r="46" spans="1:11" ht="15" customHeight="1" x14ac:dyDescent="0.3">
      <c r="A46" s="34">
        <v>1</v>
      </c>
      <c r="B46" s="35">
        <v>45688</v>
      </c>
      <c r="C46" s="31" t="s">
        <v>56</v>
      </c>
      <c r="D46" s="31" t="s">
        <v>56</v>
      </c>
      <c r="E46" s="31" t="s">
        <v>52</v>
      </c>
      <c r="F46" s="31" t="s">
        <v>11</v>
      </c>
      <c r="G46" s="30">
        <v>3129.77</v>
      </c>
      <c r="H46" s="33" t="s">
        <v>53</v>
      </c>
    </row>
    <row r="47" spans="1:11" ht="15" customHeight="1" x14ac:dyDescent="0.3">
      <c r="A47" s="34">
        <v>1</v>
      </c>
      <c r="B47" s="35">
        <v>45678</v>
      </c>
      <c r="C47" s="31" t="s">
        <v>50</v>
      </c>
      <c r="D47" s="31" t="s">
        <v>54</v>
      </c>
      <c r="E47" s="31" t="s">
        <v>52</v>
      </c>
      <c r="F47" s="31" t="s">
        <v>11</v>
      </c>
      <c r="G47" s="30">
        <v>800</v>
      </c>
      <c r="H47" s="33" t="s">
        <v>53</v>
      </c>
    </row>
    <row r="48" spans="1:11" ht="15" customHeight="1" x14ac:dyDescent="0.3">
      <c r="A48" s="34">
        <v>1</v>
      </c>
      <c r="B48" s="35">
        <v>45657</v>
      </c>
      <c r="C48" s="31" t="s">
        <v>50</v>
      </c>
      <c r="D48" s="31" t="s">
        <v>63</v>
      </c>
      <c r="E48" s="31" t="s">
        <v>38</v>
      </c>
      <c r="F48" s="31" t="s">
        <v>33</v>
      </c>
      <c r="G48" s="52">
        <v>1200</v>
      </c>
      <c r="H48" s="33" t="s">
        <v>53</v>
      </c>
    </row>
    <row r="49" spans="1:8" ht="15" customHeight="1" x14ac:dyDescent="0.3">
      <c r="A49" s="34">
        <v>1</v>
      </c>
      <c r="B49" s="35">
        <v>45657</v>
      </c>
      <c r="C49" s="31" t="s">
        <v>50</v>
      </c>
      <c r="D49" s="31" t="s">
        <v>59</v>
      </c>
      <c r="E49" s="31" t="s">
        <v>40</v>
      </c>
      <c r="F49" s="31" t="s">
        <v>33</v>
      </c>
      <c r="G49" s="52">
        <v>5110.7</v>
      </c>
      <c r="H49" s="33" t="s">
        <v>53</v>
      </c>
    </row>
    <row r="50" spans="1:8" ht="15" customHeight="1" x14ac:dyDescent="0.3">
      <c r="A50" s="34">
        <v>1</v>
      </c>
      <c r="B50" s="35">
        <v>45657</v>
      </c>
      <c r="C50" s="31" t="s">
        <v>50</v>
      </c>
      <c r="D50" s="31" t="s">
        <v>51</v>
      </c>
      <c r="E50" s="31" t="s">
        <v>52</v>
      </c>
      <c r="F50" s="31" t="s">
        <v>11</v>
      </c>
      <c r="G50" s="41">
        <v>626.57000000000005</v>
      </c>
      <c r="H50" s="33" t="s">
        <v>53</v>
      </c>
    </row>
    <row r="51" spans="1:8" ht="15" customHeight="1" x14ac:dyDescent="0.3">
      <c r="A51" s="34">
        <v>1</v>
      </c>
      <c r="B51" s="35">
        <v>45657</v>
      </c>
      <c r="C51" s="31" t="s">
        <v>50</v>
      </c>
      <c r="D51" s="31" t="s">
        <v>54</v>
      </c>
      <c r="E51" s="31" t="s">
        <v>52</v>
      </c>
      <c r="F51" s="31" t="s">
        <v>11</v>
      </c>
      <c r="G51" s="30">
        <v>1075</v>
      </c>
      <c r="H51" s="33" t="s">
        <v>53</v>
      </c>
    </row>
    <row r="52" spans="1:8" ht="15" customHeight="1" x14ac:dyDescent="0.3">
      <c r="A52" s="34">
        <v>1</v>
      </c>
      <c r="B52" s="35">
        <v>45657</v>
      </c>
      <c r="C52" s="31" t="s">
        <v>56</v>
      </c>
      <c r="D52" s="31" t="s">
        <v>56</v>
      </c>
      <c r="E52" s="31" t="s">
        <v>52</v>
      </c>
      <c r="F52" s="31" t="s">
        <v>11</v>
      </c>
      <c r="G52" s="30">
        <v>1500</v>
      </c>
      <c r="H52" s="33" t="s">
        <v>53</v>
      </c>
    </row>
    <row r="53" spans="1:8" ht="15" customHeight="1" x14ac:dyDescent="0.3">
      <c r="A53" s="34">
        <v>1</v>
      </c>
      <c r="B53" s="35">
        <v>45647</v>
      </c>
      <c r="C53" s="31" t="s">
        <v>57</v>
      </c>
      <c r="D53" s="31" t="s">
        <v>57</v>
      </c>
      <c r="E53" s="31" t="s">
        <v>52</v>
      </c>
      <c r="F53" s="31" t="s">
        <v>11</v>
      </c>
      <c r="G53" s="30">
        <v>2000</v>
      </c>
      <c r="H53" s="33" t="s">
        <v>53</v>
      </c>
    </row>
    <row r="54" spans="1:8" ht="15" customHeight="1" x14ac:dyDescent="0.3">
      <c r="A54" s="34">
        <v>1</v>
      </c>
      <c r="B54" s="35">
        <v>45626</v>
      </c>
      <c r="C54" s="31" t="s">
        <v>50</v>
      </c>
      <c r="D54" s="31" t="s">
        <v>63</v>
      </c>
      <c r="E54" s="31" t="s">
        <v>38</v>
      </c>
      <c r="F54" s="31" t="s">
        <v>33</v>
      </c>
      <c r="G54" s="52">
        <v>1200</v>
      </c>
      <c r="H54" s="33" t="s">
        <v>53</v>
      </c>
    </row>
    <row r="55" spans="1:8" ht="15" customHeight="1" x14ac:dyDescent="0.3">
      <c r="A55" s="34">
        <v>1</v>
      </c>
      <c r="B55" s="35">
        <v>45626</v>
      </c>
      <c r="C55" s="31" t="s">
        <v>50</v>
      </c>
      <c r="D55" s="31" t="s">
        <v>59</v>
      </c>
      <c r="E55" s="31" t="s">
        <v>40</v>
      </c>
      <c r="F55" s="31" t="s">
        <v>33</v>
      </c>
      <c r="G55" s="30">
        <v>2817.28</v>
      </c>
      <c r="H55" s="33" t="s">
        <v>53</v>
      </c>
    </row>
    <row r="56" spans="1:8" ht="15" customHeight="1" x14ac:dyDescent="0.3">
      <c r="A56" s="34">
        <v>1</v>
      </c>
      <c r="B56" s="35">
        <v>45626</v>
      </c>
      <c r="C56" s="31" t="s">
        <v>50</v>
      </c>
      <c r="D56" s="31" t="s">
        <v>51</v>
      </c>
      <c r="E56" s="31" t="s">
        <v>52</v>
      </c>
      <c r="F56" s="31" t="s">
        <v>11</v>
      </c>
      <c r="G56" s="41">
        <v>1549.84</v>
      </c>
      <c r="H56" s="33" t="s">
        <v>53</v>
      </c>
    </row>
    <row r="57" spans="1:8" ht="15" customHeight="1" x14ac:dyDescent="0.3">
      <c r="A57" s="34">
        <v>1</v>
      </c>
      <c r="B57" s="35">
        <v>45626</v>
      </c>
      <c r="C57" s="31" t="s">
        <v>56</v>
      </c>
      <c r="D57" s="31" t="s">
        <v>56</v>
      </c>
      <c r="E57" s="31" t="s">
        <v>52</v>
      </c>
      <c r="F57" s="31" t="s">
        <v>11</v>
      </c>
      <c r="G57" s="30">
        <v>1178.6300000000001</v>
      </c>
      <c r="H57" s="33" t="s">
        <v>53</v>
      </c>
    </row>
    <row r="58" spans="1:8" ht="15" customHeight="1" x14ac:dyDescent="0.3">
      <c r="A58" s="34">
        <v>1</v>
      </c>
      <c r="B58" s="35">
        <v>45596</v>
      </c>
      <c r="C58" s="31" t="s">
        <v>50</v>
      </c>
      <c r="D58" s="31" t="s">
        <v>63</v>
      </c>
      <c r="E58" s="31" t="s">
        <v>38</v>
      </c>
      <c r="F58" s="31" t="s">
        <v>33</v>
      </c>
      <c r="G58" s="52">
        <v>1200</v>
      </c>
      <c r="H58" s="33" t="s">
        <v>53</v>
      </c>
    </row>
    <row r="59" spans="1:8" ht="15" customHeight="1" x14ac:dyDescent="0.3">
      <c r="A59" s="34">
        <v>1</v>
      </c>
      <c r="B59" s="35">
        <v>45596</v>
      </c>
      <c r="C59" s="31" t="s">
        <v>50</v>
      </c>
      <c r="D59" s="31" t="s">
        <v>59</v>
      </c>
      <c r="E59" s="31" t="s">
        <v>40</v>
      </c>
      <c r="F59" s="31" t="s">
        <v>33</v>
      </c>
      <c r="G59" s="30">
        <v>1078</v>
      </c>
      <c r="H59" s="33" t="s">
        <v>53</v>
      </c>
    </row>
    <row r="60" spans="1:8" ht="15" customHeight="1" x14ac:dyDescent="0.3">
      <c r="A60" s="34">
        <v>1</v>
      </c>
      <c r="B60" s="35">
        <v>45596</v>
      </c>
      <c r="C60" s="31" t="s">
        <v>50</v>
      </c>
      <c r="D60" s="31" t="s">
        <v>51</v>
      </c>
      <c r="E60" s="31" t="s">
        <v>52</v>
      </c>
      <c r="F60" s="31" t="s">
        <v>11</v>
      </c>
      <c r="G60" s="41">
        <v>1800</v>
      </c>
      <c r="H60" s="33" t="s">
        <v>53</v>
      </c>
    </row>
    <row r="61" spans="1:8" ht="15" customHeight="1" x14ac:dyDescent="0.3">
      <c r="A61" s="34">
        <v>1</v>
      </c>
      <c r="B61" s="35">
        <v>45565</v>
      </c>
      <c r="C61" s="31" t="s">
        <v>50</v>
      </c>
      <c r="D61" s="31" t="s">
        <v>63</v>
      </c>
      <c r="E61" s="31" t="s">
        <v>38</v>
      </c>
      <c r="F61" s="31" t="s">
        <v>33</v>
      </c>
      <c r="G61" s="52">
        <v>1200</v>
      </c>
      <c r="H61" s="33" t="s">
        <v>53</v>
      </c>
    </row>
    <row r="62" spans="1:8" ht="15" customHeight="1" x14ac:dyDescent="0.3">
      <c r="A62" s="34">
        <v>1</v>
      </c>
      <c r="B62" s="35">
        <v>45565</v>
      </c>
      <c r="C62" s="31" t="s">
        <v>50</v>
      </c>
      <c r="D62" s="31" t="s">
        <v>51</v>
      </c>
      <c r="E62" s="31" t="s">
        <v>52</v>
      </c>
      <c r="F62" s="31" t="s">
        <v>11</v>
      </c>
      <c r="G62" s="41">
        <v>650</v>
      </c>
      <c r="H62" s="33" t="s">
        <v>53</v>
      </c>
    </row>
    <row r="63" spans="1:8" ht="15" customHeight="1" x14ac:dyDescent="0.3">
      <c r="A63" s="34">
        <v>1</v>
      </c>
      <c r="B63" s="50">
        <v>45535</v>
      </c>
      <c r="C63" s="31" t="s">
        <v>50</v>
      </c>
      <c r="D63" s="31" t="s">
        <v>67</v>
      </c>
      <c r="E63" s="31" t="s">
        <v>40</v>
      </c>
      <c r="F63" s="31" t="s">
        <v>11</v>
      </c>
      <c r="G63" s="52">
        <v>1693.75</v>
      </c>
      <c r="H63" s="33" t="s">
        <v>53</v>
      </c>
    </row>
    <row r="64" spans="1:8" ht="15" customHeight="1" x14ac:dyDescent="0.3">
      <c r="A64" s="34">
        <v>1</v>
      </c>
      <c r="B64" s="50">
        <v>45535</v>
      </c>
      <c r="C64" s="31" t="s">
        <v>50</v>
      </c>
      <c r="D64" s="31" t="s">
        <v>63</v>
      </c>
      <c r="E64" s="31" t="s">
        <v>38</v>
      </c>
      <c r="F64" s="31" t="s">
        <v>33</v>
      </c>
      <c r="G64" s="52">
        <v>1200</v>
      </c>
      <c r="H64" s="33" t="s">
        <v>53</v>
      </c>
    </row>
    <row r="65" spans="1:11" ht="15" customHeight="1" x14ac:dyDescent="0.3">
      <c r="A65" s="34">
        <v>1</v>
      </c>
      <c r="B65" s="50">
        <v>45504</v>
      </c>
      <c r="C65" s="31" t="s">
        <v>50</v>
      </c>
      <c r="D65" s="31" t="s">
        <v>67</v>
      </c>
      <c r="E65" s="31" t="s">
        <v>40</v>
      </c>
      <c r="F65" s="31" t="s">
        <v>11</v>
      </c>
      <c r="G65" s="52">
        <v>2000</v>
      </c>
      <c r="H65" s="33" t="s">
        <v>53</v>
      </c>
      <c r="J65" s="51"/>
    </row>
    <row r="66" spans="1:11" ht="15" customHeight="1" x14ac:dyDescent="0.3">
      <c r="A66" s="34">
        <v>1</v>
      </c>
      <c r="B66" s="50">
        <v>45504</v>
      </c>
      <c r="C66" s="31" t="s">
        <v>50</v>
      </c>
      <c r="D66" s="31" t="s">
        <v>63</v>
      </c>
      <c r="E66" s="31" t="s">
        <v>38</v>
      </c>
      <c r="F66" s="31" t="s">
        <v>33</v>
      </c>
      <c r="G66" s="52">
        <v>1980</v>
      </c>
      <c r="H66" s="33" t="s">
        <v>53</v>
      </c>
    </row>
    <row r="67" spans="1:11" ht="15" customHeight="1" x14ac:dyDescent="0.3">
      <c r="A67" s="34">
        <v>1</v>
      </c>
      <c r="B67" s="35">
        <v>45473</v>
      </c>
      <c r="C67" s="31" t="s">
        <v>50</v>
      </c>
      <c r="D67" s="31" t="s">
        <v>63</v>
      </c>
      <c r="E67" s="31" t="s">
        <v>38</v>
      </c>
      <c r="F67" s="31" t="s">
        <v>33</v>
      </c>
      <c r="G67" s="52">
        <v>1980</v>
      </c>
      <c r="H67" s="33" t="s">
        <v>53</v>
      </c>
      <c r="K67" s="51"/>
    </row>
    <row r="68" spans="1:11" ht="15" customHeight="1" x14ac:dyDescent="0.3">
      <c r="A68" s="34">
        <v>1</v>
      </c>
      <c r="B68" s="35">
        <v>45473</v>
      </c>
      <c r="C68" s="31" t="s">
        <v>50</v>
      </c>
      <c r="D68" s="31" t="s">
        <v>51</v>
      </c>
      <c r="E68" s="31" t="s">
        <v>52</v>
      </c>
      <c r="F68" s="31" t="s">
        <v>11</v>
      </c>
      <c r="G68" s="41">
        <v>1980</v>
      </c>
      <c r="H68" s="33" t="s">
        <v>53</v>
      </c>
    </row>
    <row r="69" spans="1:11" ht="15" customHeight="1" x14ac:dyDescent="0.3">
      <c r="A69" s="34">
        <v>1</v>
      </c>
      <c r="B69" s="50">
        <v>45443</v>
      </c>
      <c r="C69" s="31" t="s">
        <v>50</v>
      </c>
      <c r="D69" s="31" t="s">
        <v>67</v>
      </c>
      <c r="E69" s="31" t="s">
        <v>40</v>
      </c>
      <c r="F69" s="31" t="s">
        <v>11</v>
      </c>
      <c r="G69" s="52">
        <v>1778.81</v>
      </c>
      <c r="H69" s="33" t="s">
        <v>53</v>
      </c>
    </row>
    <row r="70" spans="1:11" ht="15" customHeight="1" x14ac:dyDescent="0.3">
      <c r="A70" s="34">
        <v>1</v>
      </c>
      <c r="B70" s="35">
        <v>45443</v>
      </c>
      <c r="C70" s="31" t="s">
        <v>50</v>
      </c>
      <c r="D70" s="31" t="s">
        <v>63</v>
      </c>
      <c r="E70" s="31" t="s">
        <v>38</v>
      </c>
      <c r="F70" s="31" t="s">
        <v>33</v>
      </c>
      <c r="G70" s="52">
        <v>1980</v>
      </c>
      <c r="H70" s="33" t="s">
        <v>53</v>
      </c>
    </row>
    <row r="71" spans="1:11" ht="15" customHeight="1" x14ac:dyDescent="0.3">
      <c r="A71" s="34">
        <v>1</v>
      </c>
      <c r="B71" s="35">
        <v>45443</v>
      </c>
      <c r="C71" s="31" t="s">
        <v>50</v>
      </c>
      <c r="D71" s="31" t="s">
        <v>51</v>
      </c>
      <c r="E71" s="31" t="s">
        <v>52</v>
      </c>
      <c r="F71" s="31" t="s">
        <v>11</v>
      </c>
      <c r="G71" s="41">
        <v>769.59</v>
      </c>
      <c r="H71" s="33" t="s">
        <v>53</v>
      </c>
    </row>
    <row r="72" spans="1:11" ht="15" customHeight="1" x14ac:dyDescent="0.3">
      <c r="A72" s="34">
        <v>1</v>
      </c>
      <c r="B72" s="35">
        <v>45443</v>
      </c>
      <c r="C72" s="31" t="s">
        <v>56</v>
      </c>
      <c r="D72" s="31" t="s">
        <v>56</v>
      </c>
      <c r="E72" s="31" t="s">
        <v>52</v>
      </c>
      <c r="F72" s="31" t="s">
        <v>11</v>
      </c>
      <c r="G72" s="30">
        <v>1000</v>
      </c>
      <c r="H72" s="33" t="s">
        <v>53</v>
      </c>
    </row>
    <row r="73" spans="1:11" ht="15" customHeight="1" x14ac:dyDescent="0.3">
      <c r="A73" s="34">
        <v>1</v>
      </c>
      <c r="B73" s="35">
        <v>45412</v>
      </c>
      <c r="C73" s="31" t="s">
        <v>50</v>
      </c>
      <c r="D73" s="31" t="s">
        <v>51</v>
      </c>
      <c r="E73" s="31" t="s">
        <v>52</v>
      </c>
      <c r="F73" s="31" t="s">
        <v>11</v>
      </c>
      <c r="G73" s="41">
        <v>1450</v>
      </c>
      <c r="H73" s="33" t="s">
        <v>53</v>
      </c>
    </row>
    <row r="74" spans="1:11" ht="15" customHeight="1" x14ac:dyDescent="0.3">
      <c r="A74" s="34">
        <v>1</v>
      </c>
      <c r="B74" s="50">
        <v>45382</v>
      </c>
      <c r="C74" s="31" t="s">
        <v>50</v>
      </c>
      <c r="D74" s="31" t="s">
        <v>63</v>
      </c>
      <c r="E74" s="31" t="s">
        <v>38</v>
      </c>
      <c r="F74" s="31" t="s">
        <v>33</v>
      </c>
      <c r="G74" s="52">
        <v>1980</v>
      </c>
      <c r="H74" s="33" t="s">
        <v>53</v>
      </c>
    </row>
    <row r="75" spans="1:11" ht="15" customHeight="1" x14ac:dyDescent="0.3">
      <c r="A75" s="34">
        <v>1</v>
      </c>
      <c r="B75" s="35">
        <v>45382</v>
      </c>
      <c r="C75" s="31" t="s">
        <v>50</v>
      </c>
      <c r="D75" s="31" t="s">
        <v>51</v>
      </c>
      <c r="E75" s="31" t="s">
        <v>52</v>
      </c>
      <c r="F75" s="31" t="s">
        <v>11</v>
      </c>
      <c r="G75" s="41">
        <v>1900</v>
      </c>
      <c r="H75" s="33" t="s">
        <v>53</v>
      </c>
    </row>
    <row r="76" spans="1:11" ht="15" customHeight="1" x14ac:dyDescent="0.3">
      <c r="A76" s="34">
        <v>1</v>
      </c>
      <c r="B76" s="50">
        <v>45382</v>
      </c>
      <c r="C76" s="31" t="s">
        <v>50</v>
      </c>
      <c r="D76" s="31" t="s">
        <v>62</v>
      </c>
      <c r="E76" s="31" t="s">
        <v>40</v>
      </c>
      <c r="F76" s="31" t="s">
        <v>11</v>
      </c>
      <c r="G76" s="52">
        <v>962.5</v>
      </c>
      <c r="H76" s="33" t="s">
        <v>53</v>
      </c>
    </row>
    <row r="77" spans="1:11" ht="15" customHeight="1" x14ac:dyDescent="0.3">
      <c r="A77" s="34">
        <v>1</v>
      </c>
      <c r="B77" s="50">
        <v>45350</v>
      </c>
      <c r="C77" s="31" t="s">
        <v>50</v>
      </c>
      <c r="D77" s="31" t="s">
        <v>63</v>
      </c>
      <c r="E77" s="31" t="s">
        <v>38</v>
      </c>
      <c r="F77" s="31" t="s">
        <v>33</v>
      </c>
      <c r="G77" s="52">
        <v>1980</v>
      </c>
      <c r="H77" s="33" t="s">
        <v>53</v>
      </c>
    </row>
    <row r="78" spans="1:11" ht="15" customHeight="1" x14ac:dyDescent="0.3">
      <c r="A78" s="34">
        <v>1</v>
      </c>
      <c r="B78" s="35">
        <v>45350</v>
      </c>
      <c r="C78" s="31" t="s">
        <v>50</v>
      </c>
      <c r="D78" s="31" t="s">
        <v>51</v>
      </c>
      <c r="E78" s="31" t="s">
        <v>52</v>
      </c>
      <c r="F78" s="31" t="s">
        <v>11</v>
      </c>
      <c r="G78" s="41">
        <v>1100</v>
      </c>
      <c r="H78" s="33" t="s">
        <v>53</v>
      </c>
    </row>
    <row r="79" spans="1:11" ht="15" customHeight="1" x14ac:dyDescent="0.3">
      <c r="A79" s="34">
        <v>1</v>
      </c>
      <c r="B79" s="50">
        <v>45350</v>
      </c>
      <c r="C79" s="31" t="s">
        <v>50</v>
      </c>
      <c r="D79" s="31" t="s">
        <v>62</v>
      </c>
      <c r="E79" s="31" t="s">
        <v>40</v>
      </c>
      <c r="F79" s="31" t="s">
        <v>11</v>
      </c>
      <c r="G79" s="52">
        <v>300</v>
      </c>
      <c r="H79" s="33" t="s">
        <v>53</v>
      </c>
    </row>
    <row r="80" spans="1:11" ht="15" customHeight="1" x14ac:dyDescent="0.3">
      <c r="A80" s="34">
        <v>1</v>
      </c>
      <c r="B80" s="50">
        <v>45322</v>
      </c>
      <c r="C80" s="31" t="s">
        <v>50</v>
      </c>
      <c r="D80" s="31" t="s">
        <v>63</v>
      </c>
      <c r="E80" s="31" t="s">
        <v>38</v>
      </c>
      <c r="F80" s="31" t="s">
        <v>33</v>
      </c>
      <c r="G80" s="52">
        <v>1980</v>
      </c>
      <c r="H80" s="33" t="s">
        <v>53</v>
      </c>
    </row>
    <row r="81" spans="1:8" ht="15" customHeight="1" x14ac:dyDescent="0.3">
      <c r="A81" s="34">
        <v>1</v>
      </c>
      <c r="B81" s="35">
        <v>45322</v>
      </c>
      <c r="C81" s="31" t="s">
        <v>50</v>
      </c>
      <c r="D81" s="31" t="s">
        <v>51</v>
      </c>
      <c r="E81" s="31" t="s">
        <v>52</v>
      </c>
      <c r="F81" s="31" t="s">
        <v>11</v>
      </c>
      <c r="G81" s="41">
        <v>2100</v>
      </c>
      <c r="H81" s="33" t="s">
        <v>53</v>
      </c>
    </row>
    <row r="82" spans="1:8" ht="15" customHeight="1" x14ac:dyDescent="0.3">
      <c r="A82" s="34">
        <v>1</v>
      </c>
      <c r="B82" s="50">
        <v>45322</v>
      </c>
      <c r="C82" s="31" t="s">
        <v>50</v>
      </c>
      <c r="D82" s="31" t="s">
        <v>66</v>
      </c>
      <c r="E82" s="31" t="s">
        <v>48</v>
      </c>
      <c r="F82" s="31" t="s">
        <v>11</v>
      </c>
      <c r="G82" s="52">
        <v>679.95</v>
      </c>
      <c r="H82" s="33" t="s">
        <v>53</v>
      </c>
    </row>
    <row r="83" spans="1:8" ht="15" customHeight="1" x14ac:dyDescent="0.3">
      <c r="A83" s="34">
        <v>1</v>
      </c>
      <c r="B83" s="50">
        <v>45291</v>
      </c>
      <c r="C83" s="31" t="s">
        <v>50</v>
      </c>
      <c r="D83" s="31" t="s">
        <v>63</v>
      </c>
      <c r="E83" s="31" t="s">
        <v>38</v>
      </c>
      <c r="F83" s="31" t="s">
        <v>33</v>
      </c>
      <c r="G83" s="52">
        <v>1200</v>
      </c>
      <c r="H83" s="33" t="s">
        <v>53</v>
      </c>
    </row>
    <row r="84" spans="1:8" ht="15" customHeight="1" x14ac:dyDescent="0.3">
      <c r="A84" s="34">
        <v>1</v>
      </c>
      <c r="B84" s="35">
        <v>45291</v>
      </c>
      <c r="C84" s="31" t="s">
        <v>50</v>
      </c>
      <c r="D84" s="31" t="s">
        <v>54</v>
      </c>
      <c r="E84" s="31" t="s">
        <v>52</v>
      </c>
      <c r="F84" s="31" t="s">
        <v>11</v>
      </c>
      <c r="G84" s="30">
        <v>650</v>
      </c>
      <c r="H84" s="33" t="s">
        <v>53</v>
      </c>
    </row>
    <row r="85" spans="1:8" ht="15" customHeight="1" x14ac:dyDescent="0.3">
      <c r="A85" s="34">
        <v>1</v>
      </c>
      <c r="B85" s="35">
        <v>45291</v>
      </c>
      <c r="C85" s="31" t="s">
        <v>50</v>
      </c>
      <c r="D85" s="31" t="s">
        <v>55</v>
      </c>
      <c r="E85" s="31" t="s">
        <v>52</v>
      </c>
      <c r="F85" s="31" t="s">
        <v>11</v>
      </c>
      <c r="G85" s="30">
        <v>2500</v>
      </c>
      <c r="H85" s="33" t="s">
        <v>53</v>
      </c>
    </row>
    <row r="86" spans="1:8" ht="15" customHeight="1" x14ac:dyDescent="0.3">
      <c r="A86" s="34">
        <v>1</v>
      </c>
      <c r="B86" s="50">
        <v>45260</v>
      </c>
      <c r="C86" s="31" t="s">
        <v>50</v>
      </c>
      <c r="D86" s="31" t="s">
        <v>63</v>
      </c>
      <c r="E86" s="31" t="s">
        <v>38</v>
      </c>
      <c r="F86" s="31" t="s">
        <v>33</v>
      </c>
      <c r="G86" s="52">
        <v>1200</v>
      </c>
      <c r="H86" s="33" t="s">
        <v>53</v>
      </c>
    </row>
    <row r="87" spans="1:8" ht="15" customHeight="1" x14ac:dyDescent="0.3">
      <c r="A87" s="34">
        <v>1</v>
      </c>
      <c r="B87" s="35">
        <v>45260</v>
      </c>
      <c r="C87" s="31" t="s">
        <v>50</v>
      </c>
      <c r="D87" s="31" t="s">
        <v>59</v>
      </c>
      <c r="E87" s="31" t="s">
        <v>40</v>
      </c>
      <c r="F87" s="31" t="s">
        <v>33</v>
      </c>
      <c r="G87" s="30">
        <v>250</v>
      </c>
      <c r="H87" s="33" t="s">
        <v>53</v>
      </c>
    </row>
    <row r="88" spans="1:8" ht="15" customHeight="1" x14ac:dyDescent="0.3">
      <c r="A88" s="34">
        <v>1</v>
      </c>
      <c r="B88" s="35">
        <v>45260</v>
      </c>
      <c r="C88" s="31" t="s">
        <v>50</v>
      </c>
      <c r="D88" s="31" t="s">
        <v>51</v>
      </c>
      <c r="E88" s="31" t="s">
        <v>52</v>
      </c>
      <c r="F88" s="31" t="s">
        <v>11</v>
      </c>
      <c r="G88" s="30">
        <v>1500</v>
      </c>
      <c r="H88" s="33" t="s">
        <v>53</v>
      </c>
    </row>
    <row r="89" spans="1:8" ht="15" customHeight="1" x14ac:dyDescent="0.3">
      <c r="A89" s="34">
        <v>1</v>
      </c>
      <c r="B89" s="50">
        <v>45230</v>
      </c>
      <c r="C89" s="31" t="s">
        <v>50</v>
      </c>
      <c r="D89" s="31" t="s">
        <v>63</v>
      </c>
      <c r="E89" s="31" t="s">
        <v>38</v>
      </c>
      <c r="F89" s="31" t="s">
        <v>33</v>
      </c>
      <c r="G89" s="52">
        <v>1200</v>
      </c>
      <c r="H89" s="33" t="s">
        <v>53</v>
      </c>
    </row>
    <row r="90" spans="1:8" ht="15" customHeight="1" x14ac:dyDescent="0.3">
      <c r="A90" s="34">
        <v>1</v>
      </c>
      <c r="B90" s="35">
        <v>45230</v>
      </c>
      <c r="C90" s="31" t="s">
        <v>50</v>
      </c>
      <c r="D90" s="31" t="s">
        <v>59</v>
      </c>
      <c r="E90" s="31" t="s">
        <v>40</v>
      </c>
      <c r="F90" s="31" t="s">
        <v>33</v>
      </c>
      <c r="G90" s="30">
        <v>450</v>
      </c>
      <c r="H90" s="33" t="s">
        <v>53</v>
      </c>
    </row>
    <row r="91" spans="1:8" ht="15" customHeight="1" x14ac:dyDescent="0.3">
      <c r="A91" s="34">
        <v>1</v>
      </c>
      <c r="B91" s="35">
        <v>45230</v>
      </c>
      <c r="C91" s="31" t="s">
        <v>50</v>
      </c>
      <c r="D91" s="31" t="s">
        <v>51</v>
      </c>
      <c r="E91" s="31" t="s">
        <v>52</v>
      </c>
      <c r="F91" s="31" t="s">
        <v>11</v>
      </c>
      <c r="G91" s="30">
        <v>1200</v>
      </c>
      <c r="H91" s="33" t="s">
        <v>53</v>
      </c>
    </row>
    <row r="92" spans="1:8" ht="15" customHeight="1" x14ac:dyDescent="0.3">
      <c r="A92" s="34">
        <v>1</v>
      </c>
      <c r="B92" s="35">
        <v>45201</v>
      </c>
      <c r="C92" s="31" t="s">
        <v>50</v>
      </c>
      <c r="D92" s="31" t="s">
        <v>59</v>
      </c>
      <c r="E92" s="31" t="s">
        <v>40</v>
      </c>
      <c r="F92" s="31" t="s">
        <v>33</v>
      </c>
      <c r="G92" s="30">
        <v>700</v>
      </c>
      <c r="H92" s="33" t="s">
        <v>53</v>
      </c>
    </row>
    <row r="93" spans="1:8" ht="15" customHeight="1" x14ac:dyDescent="0.3">
      <c r="A93" s="34">
        <v>1</v>
      </c>
      <c r="B93" s="35">
        <v>45201</v>
      </c>
      <c r="C93" s="31" t="s">
        <v>50</v>
      </c>
      <c r="D93" s="31" t="s">
        <v>51</v>
      </c>
      <c r="E93" s="31" t="s">
        <v>52</v>
      </c>
      <c r="F93" s="31" t="s">
        <v>11</v>
      </c>
      <c r="G93" s="30">
        <v>700</v>
      </c>
      <c r="H93" s="33" t="s">
        <v>53</v>
      </c>
    </row>
    <row r="94" spans="1:8" ht="15" customHeight="1" x14ac:dyDescent="0.3">
      <c r="A94" s="34">
        <v>1</v>
      </c>
      <c r="B94" s="50">
        <v>45199</v>
      </c>
      <c r="C94" s="31" t="s">
        <v>50</v>
      </c>
      <c r="D94" s="31" t="s">
        <v>63</v>
      </c>
      <c r="E94" s="31" t="s">
        <v>38</v>
      </c>
      <c r="F94" s="31" t="s">
        <v>33</v>
      </c>
      <c r="G94" s="52">
        <v>700</v>
      </c>
      <c r="H94" s="33" t="s">
        <v>53</v>
      </c>
    </row>
    <row r="95" spans="1:8" ht="15" customHeight="1" x14ac:dyDescent="0.3">
      <c r="A95" s="34">
        <v>1</v>
      </c>
      <c r="B95" s="50">
        <v>45199</v>
      </c>
      <c r="C95" s="31" t="s">
        <v>50</v>
      </c>
      <c r="D95" s="31" t="s">
        <v>59</v>
      </c>
      <c r="E95" s="31" t="s">
        <v>40</v>
      </c>
      <c r="F95" s="31" t="s">
        <v>33</v>
      </c>
      <c r="G95" s="30">
        <v>147.12</v>
      </c>
      <c r="H95" s="33" t="s">
        <v>53</v>
      </c>
    </row>
    <row r="96" spans="1:8" ht="15" customHeight="1" x14ac:dyDescent="0.3">
      <c r="A96" s="34">
        <v>1</v>
      </c>
      <c r="B96" s="50">
        <v>45169</v>
      </c>
      <c r="C96" s="31" t="s">
        <v>50</v>
      </c>
      <c r="D96" s="31" t="s">
        <v>63</v>
      </c>
      <c r="E96" s="31" t="s">
        <v>38</v>
      </c>
      <c r="F96" s="31" t="s">
        <v>33</v>
      </c>
      <c r="G96" s="52">
        <v>700</v>
      </c>
      <c r="H96" s="33" t="s">
        <v>53</v>
      </c>
    </row>
    <row r="97" spans="1:16" ht="15" customHeight="1" x14ac:dyDescent="0.3">
      <c r="A97" s="34">
        <v>1</v>
      </c>
      <c r="B97" s="35">
        <v>45169</v>
      </c>
      <c r="C97" s="31" t="s">
        <v>50</v>
      </c>
      <c r="D97" s="31" t="s">
        <v>59</v>
      </c>
      <c r="E97" s="31" t="s">
        <v>40</v>
      </c>
      <c r="F97" s="31" t="s">
        <v>33</v>
      </c>
      <c r="G97" s="30">
        <v>700.06</v>
      </c>
      <c r="H97" s="33" t="s">
        <v>53</v>
      </c>
    </row>
    <row r="98" spans="1:16" ht="15" customHeight="1" x14ac:dyDescent="0.3">
      <c r="A98" s="34">
        <v>1</v>
      </c>
      <c r="B98" s="35">
        <v>45169</v>
      </c>
      <c r="C98" s="31" t="s">
        <v>50</v>
      </c>
      <c r="D98" s="31" t="s">
        <v>51</v>
      </c>
      <c r="E98" s="31" t="s">
        <v>52</v>
      </c>
      <c r="F98" s="31" t="s">
        <v>11</v>
      </c>
      <c r="G98" s="30">
        <v>1500</v>
      </c>
      <c r="H98" s="33" t="s">
        <v>53</v>
      </c>
    </row>
    <row r="99" spans="1:16" ht="15" customHeight="1" x14ac:dyDescent="0.3">
      <c r="A99" s="34">
        <v>1</v>
      </c>
      <c r="B99" s="50">
        <v>45169</v>
      </c>
      <c r="C99" s="31" t="s">
        <v>50</v>
      </c>
      <c r="D99" s="31" t="s">
        <v>62</v>
      </c>
      <c r="E99" s="31" t="s">
        <v>40</v>
      </c>
      <c r="F99" s="31" t="s">
        <v>11</v>
      </c>
      <c r="G99" s="52">
        <v>2956.44</v>
      </c>
      <c r="H99" s="33" t="s">
        <v>53</v>
      </c>
    </row>
    <row r="100" spans="1:16" ht="15" customHeight="1" x14ac:dyDescent="0.3">
      <c r="A100" s="34">
        <v>1</v>
      </c>
      <c r="B100" s="35">
        <v>45147</v>
      </c>
      <c r="C100" s="31" t="s">
        <v>50</v>
      </c>
      <c r="D100" s="31" t="s">
        <v>59</v>
      </c>
      <c r="E100" s="31" t="s">
        <v>40</v>
      </c>
      <c r="F100" s="31" t="s">
        <v>33</v>
      </c>
      <c r="G100" s="30">
        <v>300</v>
      </c>
      <c r="H100" s="33" t="s">
        <v>53</v>
      </c>
    </row>
    <row r="101" spans="1:16" ht="15" customHeight="1" x14ac:dyDescent="0.3">
      <c r="A101" s="34">
        <v>1</v>
      </c>
      <c r="B101" s="35">
        <v>45147</v>
      </c>
      <c r="C101" s="31" t="s">
        <v>50</v>
      </c>
      <c r="D101" s="31" t="s">
        <v>51</v>
      </c>
      <c r="E101" s="31" t="s">
        <v>52</v>
      </c>
      <c r="F101" s="31" t="s">
        <v>11</v>
      </c>
      <c r="G101" s="30">
        <v>300</v>
      </c>
      <c r="H101" s="33" t="s">
        <v>53</v>
      </c>
    </row>
    <row r="102" spans="1:16" ht="15" customHeight="1" x14ac:dyDescent="0.3">
      <c r="A102" s="34">
        <v>1</v>
      </c>
      <c r="B102" s="35">
        <v>45141</v>
      </c>
      <c r="C102" s="31" t="s">
        <v>50</v>
      </c>
      <c r="D102" s="31" t="s">
        <v>59</v>
      </c>
      <c r="E102" s="31" t="s">
        <v>40</v>
      </c>
      <c r="F102" s="31" t="s">
        <v>33</v>
      </c>
      <c r="G102" s="30">
        <v>500</v>
      </c>
      <c r="H102" s="33" t="s">
        <v>53</v>
      </c>
    </row>
    <row r="103" spans="1:16" ht="15" customHeight="1" x14ac:dyDescent="0.3">
      <c r="A103" s="34">
        <v>1</v>
      </c>
      <c r="B103" s="35">
        <v>45141</v>
      </c>
      <c r="C103" s="31" t="s">
        <v>50</v>
      </c>
      <c r="D103" s="31" t="s">
        <v>51</v>
      </c>
      <c r="E103" s="31" t="s">
        <v>52</v>
      </c>
      <c r="F103" s="31" t="s">
        <v>11</v>
      </c>
      <c r="G103" s="30">
        <v>500</v>
      </c>
      <c r="H103" s="33" t="s">
        <v>53</v>
      </c>
    </row>
    <row r="104" spans="1:16" ht="15" customHeight="1" x14ac:dyDescent="0.3">
      <c r="A104" s="34">
        <v>1</v>
      </c>
      <c r="B104" s="50">
        <v>45138</v>
      </c>
      <c r="C104" s="31" t="s">
        <v>50</v>
      </c>
      <c r="D104" s="31" t="s">
        <v>63</v>
      </c>
      <c r="E104" s="31" t="s">
        <v>38</v>
      </c>
      <c r="F104" s="31" t="s">
        <v>33</v>
      </c>
      <c r="G104" s="52">
        <v>700</v>
      </c>
      <c r="H104" s="33" t="s">
        <v>53</v>
      </c>
      <c r="J104" s="34"/>
      <c r="K104" s="35"/>
    </row>
    <row r="105" spans="1:16" ht="15" customHeight="1" x14ac:dyDescent="0.3">
      <c r="A105" s="34">
        <v>1</v>
      </c>
      <c r="B105" s="35">
        <v>45124</v>
      </c>
      <c r="C105" s="31" t="s">
        <v>50</v>
      </c>
      <c r="D105" s="31" t="s">
        <v>59</v>
      </c>
      <c r="E105" s="31" t="s">
        <v>40</v>
      </c>
      <c r="F105" s="31" t="s">
        <v>33</v>
      </c>
      <c r="G105" s="30">
        <v>343.63</v>
      </c>
      <c r="H105" s="33" t="s">
        <v>53</v>
      </c>
      <c r="J105" s="34"/>
      <c r="K105" s="35"/>
    </row>
    <row r="106" spans="1:16" ht="15" customHeight="1" x14ac:dyDescent="0.3">
      <c r="A106" s="34">
        <v>1</v>
      </c>
      <c r="B106" s="35">
        <v>45124</v>
      </c>
      <c r="C106" s="31" t="s">
        <v>50</v>
      </c>
      <c r="D106" s="31" t="s">
        <v>51</v>
      </c>
      <c r="E106" s="31" t="s">
        <v>52</v>
      </c>
      <c r="F106" s="31" t="s">
        <v>11</v>
      </c>
      <c r="G106" s="30">
        <v>500</v>
      </c>
      <c r="H106" s="33" t="s">
        <v>53</v>
      </c>
      <c r="J106" s="34"/>
      <c r="K106" s="35"/>
    </row>
    <row r="107" spans="1:16" ht="15" customHeight="1" x14ac:dyDescent="0.3">
      <c r="A107" s="34">
        <v>1</v>
      </c>
      <c r="B107" s="50">
        <v>45107</v>
      </c>
      <c r="C107" s="31" t="s">
        <v>50</v>
      </c>
      <c r="D107" s="31" t="s">
        <v>63</v>
      </c>
      <c r="E107" s="31" t="s">
        <v>38</v>
      </c>
      <c r="F107" s="31" t="s">
        <v>33</v>
      </c>
      <c r="G107" s="52">
        <v>700</v>
      </c>
      <c r="H107" s="33" t="s">
        <v>53</v>
      </c>
      <c r="J107" s="34"/>
      <c r="K107" s="35"/>
      <c r="L107" s="31"/>
      <c r="M107" s="31"/>
      <c r="N107" s="31"/>
      <c r="O107" s="31"/>
      <c r="P107" s="42"/>
    </row>
    <row r="108" spans="1:16" ht="15" customHeight="1" x14ac:dyDescent="0.3">
      <c r="A108" s="34">
        <v>1</v>
      </c>
      <c r="B108" s="35">
        <v>45090</v>
      </c>
      <c r="C108" s="31" t="s">
        <v>50</v>
      </c>
      <c r="D108" s="31" t="s">
        <v>59</v>
      </c>
      <c r="E108" s="31" t="s">
        <v>40</v>
      </c>
      <c r="F108" s="31" t="s">
        <v>33</v>
      </c>
      <c r="G108" s="30">
        <v>426.33</v>
      </c>
      <c r="H108" s="33" t="s">
        <v>53</v>
      </c>
      <c r="J108" s="34"/>
      <c r="K108" s="35"/>
      <c r="L108" s="31"/>
      <c r="M108" s="31"/>
      <c r="N108" s="31"/>
      <c r="O108" s="31"/>
      <c r="P108" s="42"/>
    </row>
    <row r="109" spans="1:16" ht="15" customHeight="1" x14ac:dyDescent="0.3">
      <c r="A109" s="34">
        <v>1</v>
      </c>
      <c r="B109" s="35">
        <v>45090</v>
      </c>
      <c r="C109" s="31" t="s">
        <v>50</v>
      </c>
      <c r="D109" s="31" t="s">
        <v>51</v>
      </c>
      <c r="E109" s="31" t="s">
        <v>52</v>
      </c>
      <c r="F109" s="31" t="s">
        <v>11</v>
      </c>
      <c r="G109" s="30">
        <v>500</v>
      </c>
      <c r="H109" s="33" t="s">
        <v>53</v>
      </c>
      <c r="J109" s="34"/>
      <c r="K109" s="35"/>
      <c r="L109" s="31"/>
      <c r="M109" s="31"/>
      <c r="N109" s="31"/>
      <c r="O109" s="31"/>
      <c r="P109" s="42"/>
    </row>
    <row r="110" spans="1:16" ht="15" customHeight="1" x14ac:dyDescent="0.3">
      <c r="A110" s="34">
        <v>1</v>
      </c>
      <c r="B110" s="50">
        <v>45077</v>
      </c>
      <c r="C110" s="31" t="s">
        <v>50</v>
      </c>
      <c r="D110" s="31" t="s">
        <v>63</v>
      </c>
      <c r="E110" s="31" t="s">
        <v>38</v>
      </c>
      <c r="F110" s="31" t="s">
        <v>33</v>
      </c>
      <c r="G110" s="52">
        <v>700</v>
      </c>
      <c r="H110" s="33" t="s">
        <v>53</v>
      </c>
      <c r="J110" s="34"/>
      <c r="K110" s="35"/>
      <c r="L110" s="31"/>
      <c r="M110" s="31"/>
      <c r="N110" s="31"/>
      <c r="O110" s="31"/>
      <c r="P110" s="42"/>
    </row>
    <row r="111" spans="1:16" ht="15" customHeight="1" x14ac:dyDescent="0.3">
      <c r="A111" s="34">
        <v>1</v>
      </c>
      <c r="B111" s="50">
        <v>45077</v>
      </c>
      <c r="C111" s="31" t="s">
        <v>50</v>
      </c>
      <c r="D111" s="31" t="s">
        <v>62</v>
      </c>
      <c r="E111" s="31" t="s">
        <v>40</v>
      </c>
      <c r="F111" s="31" t="s">
        <v>11</v>
      </c>
      <c r="G111" s="52">
        <v>980.2</v>
      </c>
      <c r="H111" s="33" t="s">
        <v>53</v>
      </c>
      <c r="J111" s="34"/>
      <c r="K111" s="35"/>
      <c r="L111" s="31"/>
      <c r="M111" s="31"/>
      <c r="N111" s="31"/>
      <c r="O111" s="31"/>
      <c r="P111" s="42"/>
    </row>
    <row r="112" spans="1:16" ht="15" customHeight="1" x14ac:dyDescent="0.3">
      <c r="A112" s="34">
        <v>1</v>
      </c>
      <c r="B112" s="35">
        <v>45068</v>
      </c>
      <c r="C112" s="31" t="s">
        <v>50</v>
      </c>
      <c r="D112" s="31" t="s">
        <v>51</v>
      </c>
      <c r="E112" s="31" t="s">
        <v>52</v>
      </c>
      <c r="F112" s="31" t="s">
        <v>11</v>
      </c>
      <c r="G112" s="30">
        <v>380.28</v>
      </c>
      <c r="H112" s="33" t="s">
        <v>53</v>
      </c>
      <c r="J112" s="34"/>
      <c r="K112" s="35"/>
      <c r="L112" s="31"/>
      <c r="M112" s="31"/>
      <c r="N112" s="31"/>
      <c r="O112" s="31"/>
      <c r="P112" s="43"/>
    </row>
    <row r="113" spans="1:16" ht="15" customHeight="1" x14ac:dyDescent="0.3">
      <c r="A113" s="34">
        <v>1</v>
      </c>
      <c r="B113" s="35">
        <v>45046</v>
      </c>
      <c r="C113" s="31" t="s">
        <v>50</v>
      </c>
      <c r="D113" s="31" t="s">
        <v>63</v>
      </c>
      <c r="E113" s="31" t="s">
        <v>38</v>
      </c>
      <c r="F113" s="31" t="s">
        <v>33</v>
      </c>
      <c r="G113" s="52">
        <v>700</v>
      </c>
      <c r="H113" s="33" t="s">
        <v>53</v>
      </c>
      <c r="J113" s="34"/>
      <c r="K113" s="35"/>
      <c r="L113" s="31"/>
      <c r="M113" s="31"/>
      <c r="N113" s="31"/>
      <c r="O113" s="31"/>
      <c r="P113" s="42"/>
    </row>
    <row r="114" spans="1:16" ht="15" customHeight="1" x14ac:dyDescent="0.3">
      <c r="A114" s="34">
        <v>1</v>
      </c>
      <c r="B114" s="35">
        <v>45046</v>
      </c>
      <c r="C114" s="31" t="s">
        <v>50</v>
      </c>
      <c r="D114" s="31" t="s">
        <v>59</v>
      </c>
      <c r="E114" s="31" t="s">
        <v>40</v>
      </c>
      <c r="F114" s="31" t="s">
        <v>33</v>
      </c>
      <c r="G114" s="30">
        <v>976.77</v>
      </c>
      <c r="H114" s="33" t="s">
        <v>53</v>
      </c>
      <c r="J114" s="34"/>
      <c r="K114" s="35"/>
      <c r="L114" s="31"/>
      <c r="M114" s="31"/>
      <c r="N114" s="31"/>
      <c r="O114" s="31"/>
      <c r="P114" s="42"/>
    </row>
    <row r="115" spans="1:16" ht="15" customHeight="1" x14ac:dyDescent="0.3">
      <c r="A115" s="34">
        <v>1</v>
      </c>
      <c r="B115" s="35">
        <v>45046</v>
      </c>
      <c r="C115" s="31" t="s">
        <v>50</v>
      </c>
      <c r="D115" s="31" t="s">
        <v>51</v>
      </c>
      <c r="E115" s="31" t="s">
        <v>52</v>
      </c>
      <c r="F115" s="31" t="s">
        <v>11</v>
      </c>
      <c r="G115" s="30">
        <v>500</v>
      </c>
      <c r="H115" s="33" t="s">
        <v>53</v>
      </c>
      <c r="J115" s="34"/>
      <c r="K115" s="35"/>
      <c r="L115" s="31"/>
      <c r="M115" s="31"/>
      <c r="N115" s="31"/>
      <c r="O115" s="31"/>
      <c r="P115" s="42"/>
    </row>
    <row r="116" spans="1:16" ht="15" customHeight="1" x14ac:dyDescent="0.3">
      <c r="A116" s="34">
        <v>1</v>
      </c>
      <c r="B116" s="50">
        <v>45016</v>
      </c>
      <c r="C116" s="31" t="s">
        <v>50</v>
      </c>
      <c r="D116" s="31" t="s">
        <v>63</v>
      </c>
      <c r="E116" s="31" t="s">
        <v>38</v>
      </c>
      <c r="F116" s="31" t="s">
        <v>33</v>
      </c>
      <c r="G116" s="30">
        <v>400</v>
      </c>
      <c r="H116" s="33" t="s">
        <v>53</v>
      </c>
      <c r="J116" s="34"/>
      <c r="K116" s="35"/>
      <c r="L116" s="31"/>
      <c r="M116" s="31"/>
      <c r="N116" s="31"/>
      <c r="O116" s="31"/>
      <c r="P116" s="42"/>
    </row>
    <row r="117" spans="1:16" ht="15" customHeight="1" x14ac:dyDescent="0.3">
      <c r="A117" s="34">
        <v>1</v>
      </c>
      <c r="B117" s="50">
        <v>45016</v>
      </c>
      <c r="C117" s="31" t="s">
        <v>50</v>
      </c>
      <c r="D117" s="31" t="s">
        <v>62</v>
      </c>
      <c r="E117" s="31" t="s">
        <v>40</v>
      </c>
      <c r="F117" s="31" t="s">
        <v>11</v>
      </c>
      <c r="G117" s="52">
        <v>2260.42</v>
      </c>
      <c r="H117" s="33" t="s">
        <v>53</v>
      </c>
      <c r="J117" s="34"/>
      <c r="K117" s="35"/>
      <c r="L117" s="31"/>
      <c r="M117" s="31"/>
      <c r="N117" s="31"/>
      <c r="O117" s="31"/>
      <c r="P117" s="43"/>
    </row>
    <row r="118" spans="1:16" ht="15" customHeight="1" x14ac:dyDescent="0.3">
      <c r="A118" s="34">
        <v>1</v>
      </c>
      <c r="B118" s="50">
        <v>44984</v>
      </c>
      <c r="C118" s="31" t="s">
        <v>50</v>
      </c>
      <c r="D118" s="31" t="s">
        <v>63</v>
      </c>
      <c r="E118" s="31" t="s">
        <v>38</v>
      </c>
      <c r="F118" s="31" t="s">
        <v>33</v>
      </c>
      <c r="G118" s="30">
        <v>400</v>
      </c>
      <c r="H118" s="33" t="s">
        <v>53</v>
      </c>
      <c r="J118" s="34"/>
      <c r="K118" s="35"/>
      <c r="L118" s="31"/>
      <c r="M118" s="31"/>
      <c r="N118" s="31"/>
      <c r="O118" s="31"/>
      <c r="P118" s="43"/>
    </row>
    <row r="119" spans="1:16" ht="15" customHeight="1" x14ac:dyDescent="0.3">
      <c r="A119" s="34">
        <v>1</v>
      </c>
      <c r="B119" s="35">
        <v>44984</v>
      </c>
      <c r="C119" s="31" t="s">
        <v>50</v>
      </c>
      <c r="D119" s="31" t="s">
        <v>59</v>
      </c>
      <c r="E119" s="31" t="s">
        <v>40</v>
      </c>
      <c r="F119" s="31" t="s">
        <v>33</v>
      </c>
      <c r="G119" s="30">
        <v>1318.11</v>
      </c>
      <c r="H119" s="33" t="s">
        <v>53</v>
      </c>
      <c r="L119" s="31"/>
      <c r="M119" s="31"/>
      <c r="N119" s="31"/>
      <c r="O119" s="31"/>
      <c r="P119" s="42"/>
    </row>
    <row r="120" spans="1:16" ht="15" customHeight="1" x14ac:dyDescent="0.3">
      <c r="A120" s="34">
        <v>1</v>
      </c>
      <c r="B120" s="35">
        <v>44984</v>
      </c>
      <c r="C120" s="31" t="s">
        <v>50</v>
      </c>
      <c r="D120" s="31" t="s">
        <v>51</v>
      </c>
      <c r="E120" s="31" t="s">
        <v>52</v>
      </c>
      <c r="F120" s="31" t="s">
        <v>11</v>
      </c>
      <c r="G120" s="30">
        <v>1789.51</v>
      </c>
      <c r="H120" s="33" t="s">
        <v>53</v>
      </c>
      <c r="L120" s="31"/>
      <c r="M120" s="31"/>
      <c r="N120" s="31"/>
      <c r="O120" s="31"/>
      <c r="P120" s="43"/>
    </row>
    <row r="121" spans="1:16" ht="15" customHeight="1" x14ac:dyDescent="0.3">
      <c r="A121" s="34">
        <v>1</v>
      </c>
      <c r="B121" s="50">
        <v>44957</v>
      </c>
      <c r="C121" s="31" t="s">
        <v>50</v>
      </c>
      <c r="D121" s="31" t="s">
        <v>63</v>
      </c>
      <c r="E121" s="31" t="s">
        <v>38</v>
      </c>
      <c r="F121" s="31" t="s">
        <v>33</v>
      </c>
      <c r="G121" s="30">
        <v>400</v>
      </c>
      <c r="H121" s="33" t="s">
        <v>53</v>
      </c>
      <c r="L121" s="31"/>
      <c r="M121" s="31"/>
      <c r="N121" s="31"/>
      <c r="O121" s="31"/>
      <c r="P121" s="43"/>
    </row>
    <row r="122" spans="1:16" ht="15" customHeight="1" x14ac:dyDescent="0.3">
      <c r="A122" s="34">
        <v>1</v>
      </c>
      <c r="B122" s="50">
        <v>44957</v>
      </c>
      <c r="C122" s="31" t="s">
        <v>50</v>
      </c>
      <c r="D122" s="32" t="s">
        <v>62</v>
      </c>
      <c r="E122" s="31" t="s">
        <v>40</v>
      </c>
      <c r="F122" s="31" t="s">
        <v>11</v>
      </c>
      <c r="G122" s="52">
        <v>1412.31</v>
      </c>
      <c r="H122" s="48" t="s">
        <v>53</v>
      </c>
    </row>
    <row r="123" spans="1:16" ht="15" customHeight="1" x14ac:dyDescent="0.3">
      <c r="A123" s="34">
        <v>1</v>
      </c>
      <c r="B123" s="35">
        <v>44951</v>
      </c>
      <c r="C123" s="31" t="s">
        <v>50</v>
      </c>
      <c r="D123" s="31" t="s">
        <v>59</v>
      </c>
      <c r="E123" s="31" t="s">
        <v>40</v>
      </c>
      <c r="F123" s="31" t="s">
        <v>33</v>
      </c>
      <c r="G123" s="30">
        <v>748.42</v>
      </c>
      <c r="H123" s="33" t="s">
        <v>53</v>
      </c>
    </row>
    <row r="124" spans="1:16" ht="15" customHeight="1" x14ac:dyDescent="0.3">
      <c r="A124" s="34">
        <v>1</v>
      </c>
      <c r="B124" s="35">
        <v>44951</v>
      </c>
      <c r="C124" s="31" t="s">
        <v>50</v>
      </c>
      <c r="D124" s="31" t="s">
        <v>51</v>
      </c>
      <c r="E124" s="31" t="s">
        <v>52</v>
      </c>
      <c r="F124" s="31" t="s">
        <v>11</v>
      </c>
      <c r="G124" s="30">
        <v>748.42</v>
      </c>
      <c r="H124" s="33" t="s">
        <v>53</v>
      </c>
    </row>
    <row r="125" spans="1:16" ht="15" customHeight="1" x14ac:dyDescent="0.3">
      <c r="A125" s="34">
        <v>1</v>
      </c>
      <c r="B125" s="50">
        <v>44926</v>
      </c>
      <c r="C125" s="31" t="s">
        <v>50</v>
      </c>
      <c r="D125" s="36" t="s">
        <v>75</v>
      </c>
      <c r="E125" s="31" t="s">
        <v>40</v>
      </c>
      <c r="F125" s="31" t="s">
        <v>11</v>
      </c>
      <c r="G125" s="30">
        <v>689.98</v>
      </c>
      <c r="H125" s="32" t="s">
        <v>53</v>
      </c>
    </row>
    <row r="126" spans="1:16" ht="15" customHeight="1" x14ac:dyDescent="0.3">
      <c r="A126" s="34">
        <v>1</v>
      </c>
      <c r="B126" s="50">
        <v>44926</v>
      </c>
      <c r="C126" s="31" t="s">
        <v>50</v>
      </c>
      <c r="D126" s="32" t="s">
        <v>63</v>
      </c>
      <c r="E126" s="31" t="s">
        <v>38</v>
      </c>
      <c r="F126" s="31" t="s">
        <v>33</v>
      </c>
      <c r="G126" s="30">
        <v>301.3</v>
      </c>
      <c r="H126" s="32" t="s">
        <v>53</v>
      </c>
    </row>
    <row r="127" spans="1:16" ht="15" customHeight="1" x14ac:dyDescent="0.3">
      <c r="A127" s="34">
        <v>1</v>
      </c>
      <c r="B127" s="50">
        <v>44926</v>
      </c>
      <c r="C127" s="31" t="s">
        <v>50</v>
      </c>
      <c r="D127" s="32" t="s">
        <v>59</v>
      </c>
      <c r="E127" s="31" t="s">
        <v>40</v>
      </c>
      <c r="F127" s="31" t="s">
        <v>33</v>
      </c>
      <c r="G127" s="30">
        <v>390</v>
      </c>
      <c r="H127" s="32" t="s">
        <v>53</v>
      </c>
    </row>
    <row r="128" spans="1:16" ht="15" customHeight="1" x14ac:dyDescent="0.3">
      <c r="A128" s="34">
        <v>1</v>
      </c>
      <c r="B128" s="50">
        <v>44926</v>
      </c>
      <c r="C128" s="31" t="s">
        <v>50</v>
      </c>
      <c r="D128" s="32" t="s">
        <v>76</v>
      </c>
      <c r="E128" s="31" t="s">
        <v>52</v>
      </c>
      <c r="F128" s="31" t="s">
        <v>33</v>
      </c>
      <c r="G128" s="30">
        <v>9.57</v>
      </c>
      <c r="H128" s="32" t="s">
        <v>53</v>
      </c>
    </row>
    <row r="129" spans="1:14" ht="15" customHeight="1" x14ac:dyDescent="0.3">
      <c r="A129" s="34">
        <v>1</v>
      </c>
      <c r="B129" s="50">
        <v>44895</v>
      </c>
      <c r="C129" s="31" t="s">
        <v>50</v>
      </c>
      <c r="D129" s="32" t="s">
        <v>63</v>
      </c>
      <c r="E129" s="31" t="s">
        <v>38</v>
      </c>
      <c r="F129" s="31" t="s">
        <v>33</v>
      </c>
      <c r="G129" s="30">
        <v>400</v>
      </c>
      <c r="H129" s="32" t="s">
        <v>53</v>
      </c>
    </row>
    <row r="130" spans="1:14" ht="15" customHeight="1" x14ac:dyDescent="0.3">
      <c r="A130" s="34">
        <v>1</v>
      </c>
      <c r="B130" s="50">
        <v>44895</v>
      </c>
      <c r="C130" s="31" t="s">
        <v>50</v>
      </c>
      <c r="D130" s="32" t="s">
        <v>59</v>
      </c>
      <c r="E130" s="31" t="s">
        <v>40</v>
      </c>
      <c r="F130" s="31" t="s">
        <v>33</v>
      </c>
      <c r="G130" s="30">
        <v>310.04000000000002</v>
      </c>
      <c r="H130" s="32" t="s">
        <v>53</v>
      </c>
      <c r="K130" s="49"/>
    </row>
    <row r="131" spans="1:14" ht="15" customHeight="1" x14ac:dyDescent="0.3">
      <c r="A131" s="37">
        <v>1</v>
      </c>
      <c r="B131" s="38">
        <v>44873</v>
      </c>
      <c r="C131" s="39" t="s">
        <v>50</v>
      </c>
      <c r="D131" s="39" t="s">
        <v>59</v>
      </c>
      <c r="E131" s="39" t="s">
        <v>40</v>
      </c>
      <c r="F131" s="39" t="s">
        <v>33</v>
      </c>
      <c r="G131" s="40">
        <v>1000</v>
      </c>
      <c r="H131" s="39" t="s">
        <v>53</v>
      </c>
    </row>
    <row r="132" spans="1:14" ht="15" customHeight="1" x14ac:dyDescent="0.3">
      <c r="A132" s="37">
        <v>1</v>
      </c>
      <c r="B132" s="38">
        <v>44873</v>
      </c>
      <c r="C132" s="39" t="s">
        <v>50</v>
      </c>
      <c r="D132" s="39" t="s">
        <v>51</v>
      </c>
      <c r="E132" s="39" t="s">
        <v>52</v>
      </c>
      <c r="F132" s="39" t="s">
        <v>11</v>
      </c>
      <c r="G132" s="40">
        <v>1000</v>
      </c>
      <c r="H132" s="39" t="s">
        <v>53</v>
      </c>
      <c r="N132" s="49"/>
    </row>
    <row r="133" spans="1:14" ht="15" customHeight="1" x14ac:dyDescent="0.3">
      <c r="A133" s="34">
        <v>1</v>
      </c>
      <c r="B133" s="50">
        <v>44865</v>
      </c>
      <c r="C133" s="31" t="s">
        <v>50</v>
      </c>
      <c r="D133" s="32" t="s">
        <v>63</v>
      </c>
      <c r="E133" s="31" t="s">
        <v>38</v>
      </c>
      <c r="F133" s="31" t="s">
        <v>33</v>
      </c>
      <c r="G133" s="30">
        <v>400</v>
      </c>
      <c r="H133" s="32" t="s">
        <v>53</v>
      </c>
      <c r="N133" s="49"/>
    </row>
    <row r="134" spans="1:14" ht="15" customHeight="1" x14ac:dyDescent="0.3">
      <c r="A134" s="34">
        <v>1</v>
      </c>
      <c r="B134" s="50">
        <v>44865</v>
      </c>
      <c r="C134" s="31" t="s">
        <v>50</v>
      </c>
      <c r="D134" s="32" t="s">
        <v>59</v>
      </c>
      <c r="E134" s="31" t="s">
        <v>40</v>
      </c>
      <c r="F134" s="31" t="s">
        <v>33</v>
      </c>
      <c r="G134" s="30">
        <v>500</v>
      </c>
      <c r="H134" s="32" t="s">
        <v>53</v>
      </c>
      <c r="N134" s="49"/>
    </row>
    <row r="135" spans="1:14" ht="15" customHeight="1" x14ac:dyDescent="0.3">
      <c r="A135" s="34">
        <v>1</v>
      </c>
      <c r="B135" s="50">
        <v>44865</v>
      </c>
      <c r="C135" s="31" t="s">
        <v>50</v>
      </c>
      <c r="D135" s="32" t="s">
        <v>76</v>
      </c>
      <c r="E135" s="31" t="s">
        <v>52</v>
      </c>
      <c r="F135" s="31" t="s">
        <v>33</v>
      </c>
      <c r="G135" s="30">
        <v>77.510000000000005</v>
      </c>
      <c r="H135" s="32" t="s">
        <v>53</v>
      </c>
      <c r="N135" s="49"/>
    </row>
    <row r="136" spans="1:14" ht="15" customHeight="1" x14ac:dyDescent="0.3">
      <c r="A136" s="34">
        <v>1</v>
      </c>
      <c r="B136" s="50">
        <v>44834</v>
      </c>
      <c r="C136" s="31" t="s">
        <v>50</v>
      </c>
      <c r="D136" s="32" t="s">
        <v>62</v>
      </c>
      <c r="E136" s="31" t="s">
        <v>40</v>
      </c>
      <c r="F136" s="31" t="s">
        <v>11</v>
      </c>
      <c r="G136" s="30">
        <v>521.20000000000005</v>
      </c>
      <c r="H136" s="32" t="s">
        <v>53</v>
      </c>
      <c r="N136" s="49"/>
    </row>
    <row r="137" spans="1:14" ht="15" customHeight="1" x14ac:dyDescent="0.3">
      <c r="A137" s="37">
        <v>1</v>
      </c>
      <c r="B137" s="38">
        <v>44825</v>
      </c>
      <c r="C137" s="39" t="s">
        <v>50</v>
      </c>
      <c r="D137" s="39" t="s">
        <v>59</v>
      </c>
      <c r="E137" s="39" t="s">
        <v>40</v>
      </c>
      <c r="F137" s="39" t="s">
        <v>33</v>
      </c>
      <c r="G137" s="40">
        <v>103.99</v>
      </c>
      <c r="H137" s="39" t="s">
        <v>53</v>
      </c>
      <c r="N137" s="49"/>
    </row>
    <row r="138" spans="1:14" ht="15" customHeight="1" x14ac:dyDescent="0.3">
      <c r="A138" s="37">
        <v>1</v>
      </c>
      <c r="B138" s="38">
        <v>44825</v>
      </c>
      <c r="C138" s="39" t="s">
        <v>50</v>
      </c>
      <c r="D138" s="39" t="s">
        <v>51</v>
      </c>
      <c r="E138" s="39" t="s">
        <v>52</v>
      </c>
      <c r="F138" s="39" t="s">
        <v>11</v>
      </c>
      <c r="G138" s="40">
        <v>103.99</v>
      </c>
      <c r="H138" s="39" t="s">
        <v>53</v>
      </c>
      <c r="N138" s="49"/>
    </row>
    <row r="139" spans="1:14" ht="15" customHeight="1" x14ac:dyDescent="0.3">
      <c r="A139" s="34">
        <v>1</v>
      </c>
      <c r="B139" s="35">
        <v>44804</v>
      </c>
      <c r="C139" s="31" t="s">
        <v>50</v>
      </c>
      <c r="D139" s="32" t="s">
        <v>76</v>
      </c>
      <c r="E139" s="31" t="s">
        <v>52</v>
      </c>
      <c r="F139" s="31" t="s">
        <v>33</v>
      </c>
      <c r="G139" s="30">
        <v>295.31</v>
      </c>
      <c r="H139" s="32" t="s">
        <v>53</v>
      </c>
      <c r="N139" s="49"/>
    </row>
    <row r="140" spans="1:14" ht="15" customHeight="1" x14ac:dyDescent="0.3">
      <c r="A140" s="37">
        <v>1</v>
      </c>
      <c r="B140" s="38">
        <v>44796</v>
      </c>
      <c r="C140" s="39" t="s">
        <v>50</v>
      </c>
      <c r="D140" s="39" t="s">
        <v>59</v>
      </c>
      <c r="E140" s="39" t="s">
        <v>40</v>
      </c>
      <c r="F140" s="39" t="s">
        <v>33</v>
      </c>
      <c r="G140" s="40">
        <v>342.92</v>
      </c>
      <c r="H140" s="39" t="s">
        <v>53</v>
      </c>
      <c r="K140" s="51"/>
    </row>
    <row r="141" spans="1:14" ht="15" customHeight="1" x14ac:dyDescent="0.3">
      <c r="A141" s="37">
        <v>1</v>
      </c>
      <c r="B141" s="38">
        <v>44796</v>
      </c>
      <c r="C141" s="39" t="s">
        <v>50</v>
      </c>
      <c r="D141" s="39" t="s">
        <v>51</v>
      </c>
      <c r="E141" s="39" t="s">
        <v>52</v>
      </c>
      <c r="F141" s="39" t="s">
        <v>11</v>
      </c>
      <c r="G141" s="40">
        <v>342.92</v>
      </c>
      <c r="H141" s="39" t="s">
        <v>53</v>
      </c>
    </row>
    <row r="142" spans="1:14" ht="15" customHeight="1" x14ac:dyDescent="0.3">
      <c r="A142" s="34">
        <v>1</v>
      </c>
      <c r="B142" s="35">
        <v>44773</v>
      </c>
      <c r="C142" s="31" t="s">
        <v>50</v>
      </c>
      <c r="D142" s="32" t="s">
        <v>62</v>
      </c>
      <c r="E142" s="31" t="s">
        <v>40</v>
      </c>
      <c r="F142" s="31" t="s">
        <v>11</v>
      </c>
      <c r="G142" s="30">
        <v>49.04</v>
      </c>
      <c r="H142" s="32" t="s">
        <v>53</v>
      </c>
    </row>
    <row r="143" spans="1:14" ht="15" customHeight="1" x14ac:dyDescent="0.3">
      <c r="A143" s="37">
        <v>1</v>
      </c>
      <c r="B143" s="38">
        <v>44770</v>
      </c>
      <c r="C143" s="39" t="s">
        <v>50</v>
      </c>
      <c r="D143" s="39" t="s">
        <v>65</v>
      </c>
      <c r="E143" s="39" t="s">
        <v>52</v>
      </c>
      <c r="F143" s="39" t="s">
        <v>33</v>
      </c>
      <c r="G143" s="40">
        <v>665.12</v>
      </c>
      <c r="H143" s="39" t="s">
        <v>53</v>
      </c>
    </row>
    <row r="144" spans="1:14" ht="15" customHeight="1" x14ac:dyDescent="0.3">
      <c r="A144" s="34">
        <v>1</v>
      </c>
      <c r="B144" s="35">
        <v>44742</v>
      </c>
      <c r="C144" s="31" t="s">
        <v>50</v>
      </c>
      <c r="D144" s="32" t="s">
        <v>59</v>
      </c>
      <c r="E144" s="31" t="s">
        <v>40</v>
      </c>
      <c r="F144" s="31" t="s">
        <v>33</v>
      </c>
      <c r="G144" s="30">
        <v>460.51</v>
      </c>
      <c r="H144" s="32" t="s">
        <v>53</v>
      </c>
    </row>
    <row r="145" spans="1:8" ht="15" customHeight="1" x14ac:dyDescent="0.3">
      <c r="A145" s="34">
        <v>1</v>
      </c>
      <c r="B145" s="35">
        <v>44742</v>
      </c>
      <c r="C145" s="31" t="s">
        <v>50</v>
      </c>
      <c r="D145" s="32" t="s">
        <v>76</v>
      </c>
      <c r="E145" s="31" t="s">
        <v>52</v>
      </c>
      <c r="F145" s="31" t="s">
        <v>33</v>
      </c>
      <c r="G145" s="30">
        <v>26.65</v>
      </c>
      <c r="H145" s="32" t="s">
        <v>53</v>
      </c>
    </row>
    <row r="146" spans="1:8" ht="15" customHeight="1" x14ac:dyDescent="0.3">
      <c r="A146" s="34">
        <v>1</v>
      </c>
      <c r="B146" s="35">
        <v>44712</v>
      </c>
      <c r="C146" s="31" t="s">
        <v>50</v>
      </c>
      <c r="D146" s="32" t="s">
        <v>59</v>
      </c>
      <c r="E146" s="31" t="s">
        <v>40</v>
      </c>
      <c r="F146" s="31" t="s">
        <v>33</v>
      </c>
      <c r="G146" s="30">
        <v>488.74</v>
      </c>
      <c r="H146" s="32" t="s">
        <v>53</v>
      </c>
    </row>
    <row r="147" spans="1:8" ht="15" customHeight="1" x14ac:dyDescent="0.3">
      <c r="A147" s="34">
        <v>1</v>
      </c>
      <c r="B147" s="35">
        <v>44712</v>
      </c>
      <c r="C147" s="31" t="s">
        <v>50</v>
      </c>
      <c r="D147" s="32" t="s">
        <v>76</v>
      </c>
      <c r="E147" s="31" t="s">
        <v>52</v>
      </c>
      <c r="F147" s="31" t="s">
        <v>33</v>
      </c>
      <c r="G147" s="30">
        <v>25.82</v>
      </c>
      <c r="H147" s="32" t="s">
        <v>53</v>
      </c>
    </row>
    <row r="148" spans="1:8" ht="15" customHeight="1" x14ac:dyDescent="0.3">
      <c r="A148" s="34">
        <v>1</v>
      </c>
      <c r="B148" s="35">
        <v>44681</v>
      </c>
      <c r="C148" s="31" t="s">
        <v>50</v>
      </c>
      <c r="D148" s="32" t="s">
        <v>61</v>
      </c>
      <c r="E148" s="31" t="s">
        <v>40</v>
      </c>
      <c r="F148" s="31" t="s">
        <v>33</v>
      </c>
      <c r="G148" s="30">
        <v>200</v>
      </c>
      <c r="H148" s="32" t="s">
        <v>53</v>
      </c>
    </row>
    <row r="149" spans="1:8" ht="15" customHeight="1" x14ac:dyDescent="0.3">
      <c r="A149" s="34">
        <v>1</v>
      </c>
      <c r="B149" s="35">
        <v>44681</v>
      </c>
      <c r="C149" s="31" t="s">
        <v>50</v>
      </c>
      <c r="D149" s="32" t="s">
        <v>59</v>
      </c>
      <c r="E149" s="31" t="s">
        <v>40</v>
      </c>
      <c r="F149" s="31" t="s">
        <v>33</v>
      </c>
      <c r="G149" s="30">
        <v>88.93</v>
      </c>
      <c r="H149" s="32" t="s">
        <v>53</v>
      </c>
    </row>
    <row r="150" spans="1:8" ht="15" customHeight="1" x14ac:dyDescent="0.3">
      <c r="A150" s="34">
        <v>1</v>
      </c>
      <c r="B150" s="35">
        <v>44651</v>
      </c>
      <c r="C150" s="31" t="s">
        <v>50</v>
      </c>
      <c r="D150" s="32" t="s">
        <v>59</v>
      </c>
      <c r="E150" s="31" t="s">
        <v>40</v>
      </c>
      <c r="F150" s="31" t="s">
        <v>33</v>
      </c>
      <c r="G150" s="30">
        <v>157.44999999999999</v>
      </c>
      <c r="H150" s="32" t="s">
        <v>53</v>
      </c>
    </row>
    <row r="151" spans="1:8" ht="15" customHeight="1" x14ac:dyDescent="0.3">
      <c r="A151" s="34">
        <v>1</v>
      </c>
      <c r="B151" s="35">
        <v>44651</v>
      </c>
      <c r="C151" s="31" t="s">
        <v>50</v>
      </c>
      <c r="D151" s="32" t="s">
        <v>76</v>
      </c>
      <c r="E151" s="31" t="s">
        <v>52</v>
      </c>
      <c r="F151" s="31" t="s">
        <v>33</v>
      </c>
      <c r="G151" s="30">
        <v>23.94</v>
      </c>
      <c r="H151" s="32" t="s">
        <v>53</v>
      </c>
    </row>
    <row r="152" spans="1:8" ht="15" customHeight="1" x14ac:dyDescent="0.3">
      <c r="A152" s="34">
        <v>1</v>
      </c>
      <c r="B152" s="35">
        <v>44620</v>
      </c>
      <c r="C152" s="31" t="s">
        <v>50</v>
      </c>
      <c r="D152" s="32" t="s">
        <v>76</v>
      </c>
      <c r="E152" s="31" t="s">
        <v>52</v>
      </c>
      <c r="F152" s="31" t="s">
        <v>33</v>
      </c>
      <c r="G152" s="30">
        <v>59.75</v>
      </c>
      <c r="H152" s="32" t="s">
        <v>53</v>
      </c>
    </row>
    <row r="153" spans="1:8" ht="15" customHeight="1" x14ac:dyDescent="0.3">
      <c r="A153" s="34">
        <v>1</v>
      </c>
      <c r="B153" s="35">
        <v>44592</v>
      </c>
      <c r="C153" s="31" t="s">
        <v>50</v>
      </c>
      <c r="D153" s="32" t="s">
        <v>59</v>
      </c>
      <c r="E153" s="31" t="s">
        <v>40</v>
      </c>
      <c r="F153" s="31" t="s">
        <v>33</v>
      </c>
      <c r="G153" s="30">
        <v>806.1</v>
      </c>
      <c r="H153" s="32" t="s">
        <v>53</v>
      </c>
    </row>
    <row r="154" spans="1:8" ht="15" customHeight="1" x14ac:dyDescent="0.3">
      <c r="A154" s="34">
        <v>1</v>
      </c>
      <c r="B154" s="35">
        <v>44592</v>
      </c>
      <c r="C154" s="31" t="s">
        <v>50</v>
      </c>
      <c r="D154" s="32" t="s">
        <v>76</v>
      </c>
      <c r="E154" s="31" t="s">
        <v>52</v>
      </c>
      <c r="F154" s="31" t="s">
        <v>33</v>
      </c>
      <c r="G154" s="30">
        <v>4.12</v>
      </c>
      <c r="H154" s="32" t="s">
        <v>53</v>
      </c>
    </row>
    <row r="155" spans="1:8" ht="15" customHeight="1" x14ac:dyDescent="0.3">
      <c r="A155" s="34">
        <v>1</v>
      </c>
      <c r="B155" s="35">
        <v>44531</v>
      </c>
      <c r="C155" s="31" t="s">
        <v>50</v>
      </c>
      <c r="D155" s="32" t="s">
        <v>76</v>
      </c>
      <c r="E155" s="31" t="s">
        <v>52</v>
      </c>
      <c r="F155" s="31" t="s">
        <v>33</v>
      </c>
      <c r="G155" s="30">
        <v>32.99</v>
      </c>
      <c r="H155" s="32" t="s">
        <v>53</v>
      </c>
    </row>
    <row r="156" spans="1:8" ht="15" customHeight="1" x14ac:dyDescent="0.3">
      <c r="A156" s="34">
        <v>1</v>
      </c>
      <c r="B156" s="35">
        <v>44501</v>
      </c>
      <c r="C156" s="31" t="s">
        <v>50</v>
      </c>
      <c r="D156" s="32" t="s">
        <v>76</v>
      </c>
      <c r="E156" s="31" t="s">
        <v>52</v>
      </c>
      <c r="F156" s="31" t="s">
        <v>33</v>
      </c>
      <c r="G156" s="30">
        <v>42.22</v>
      </c>
      <c r="H156" s="32" t="s">
        <v>53</v>
      </c>
    </row>
    <row r="157" spans="1:8" ht="15" customHeight="1" x14ac:dyDescent="0.3">
      <c r="A157" s="34">
        <v>1</v>
      </c>
      <c r="B157" s="35">
        <v>44470</v>
      </c>
      <c r="C157" s="31" t="s">
        <v>50</v>
      </c>
      <c r="D157" s="32" t="s">
        <v>59</v>
      </c>
      <c r="E157" s="31" t="s">
        <v>40</v>
      </c>
      <c r="F157" s="31" t="s">
        <v>33</v>
      </c>
      <c r="G157" s="30">
        <v>3482.82</v>
      </c>
      <c r="H157" s="32" t="s">
        <v>53</v>
      </c>
    </row>
    <row r="158" spans="1:8" ht="15" customHeight="1" x14ac:dyDescent="0.3">
      <c r="A158" s="34">
        <v>1</v>
      </c>
      <c r="B158" s="35">
        <v>44470</v>
      </c>
      <c r="C158" s="31" t="s">
        <v>50</v>
      </c>
      <c r="D158" s="32" t="s">
        <v>58</v>
      </c>
      <c r="E158" s="31" t="s">
        <v>40</v>
      </c>
      <c r="F158" s="31" t="s">
        <v>11</v>
      </c>
      <c r="G158" s="30">
        <v>628</v>
      </c>
      <c r="H158" s="32" t="s">
        <v>53</v>
      </c>
    </row>
    <row r="159" spans="1:8" ht="15" customHeight="1" x14ac:dyDescent="0.3">
      <c r="A159" s="34">
        <v>1</v>
      </c>
      <c r="B159" s="35">
        <v>44396</v>
      </c>
      <c r="C159" s="31" t="s">
        <v>50</v>
      </c>
      <c r="D159" s="32" t="s">
        <v>59</v>
      </c>
      <c r="E159" s="31" t="s">
        <v>40</v>
      </c>
      <c r="F159" s="31" t="s">
        <v>33</v>
      </c>
      <c r="G159" s="30">
        <v>1000</v>
      </c>
      <c r="H159" s="32" t="s">
        <v>53</v>
      </c>
    </row>
    <row r="160" spans="1:8" ht="15" customHeight="1" x14ac:dyDescent="0.3">
      <c r="A160" s="34">
        <v>1</v>
      </c>
      <c r="B160" s="35">
        <v>44396</v>
      </c>
      <c r="C160" s="31" t="s">
        <v>50</v>
      </c>
      <c r="D160" s="31" t="s">
        <v>51</v>
      </c>
      <c r="E160" s="31" t="s">
        <v>52</v>
      </c>
      <c r="F160" s="31" t="s">
        <v>11</v>
      </c>
      <c r="G160" s="30">
        <v>1000</v>
      </c>
      <c r="H160" s="32" t="s">
        <v>53</v>
      </c>
    </row>
    <row r="161" spans="1:8" ht="15" customHeight="1" x14ac:dyDescent="0.3">
      <c r="A161" s="34">
        <v>1</v>
      </c>
      <c r="B161" s="35">
        <v>44347</v>
      </c>
      <c r="C161" s="31" t="s">
        <v>50</v>
      </c>
      <c r="D161" s="32" t="s">
        <v>59</v>
      </c>
      <c r="E161" s="31" t="s">
        <v>40</v>
      </c>
      <c r="F161" s="31" t="s">
        <v>33</v>
      </c>
      <c r="G161" s="30">
        <v>600</v>
      </c>
      <c r="H161" s="32" t="s">
        <v>53</v>
      </c>
    </row>
    <row r="162" spans="1:8" ht="15" customHeight="1" x14ac:dyDescent="0.3">
      <c r="A162" s="34">
        <v>1</v>
      </c>
      <c r="B162" s="35">
        <v>44347</v>
      </c>
      <c r="C162" s="31" t="s">
        <v>50</v>
      </c>
      <c r="D162" s="31" t="s">
        <v>51</v>
      </c>
      <c r="E162" s="31" t="s">
        <v>52</v>
      </c>
      <c r="F162" s="31" t="s">
        <v>11</v>
      </c>
      <c r="G162" s="30">
        <v>600</v>
      </c>
      <c r="H162" s="32" t="s">
        <v>53</v>
      </c>
    </row>
    <row r="163" spans="1:8" ht="15" customHeight="1" x14ac:dyDescent="0.3">
      <c r="A163" s="34">
        <v>1</v>
      </c>
      <c r="B163" s="35">
        <v>44305</v>
      </c>
      <c r="C163" s="31" t="s">
        <v>50</v>
      </c>
      <c r="D163" s="32" t="s">
        <v>59</v>
      </c>
      <c r="E163" s="31" t="s">
        <v>40</v>
      </c>
      <c r="F163" s="31" t="s">
        <v>33</v>
      </c>
      <c r="G163" s="30">
        <v>400</v>
      </c>
      <c r="H163" s="32" t="s">
        <v>53</v>
      </c>
    </row>
    <row r="164" spans="1:8" ht="15" customHeight="1" x14ac:dyDescent="0.3">
      <c r="A164" s="34">
        <v>1</v>
      </c>
      <c r="B164" s="35">
        <v>44305</v>
      </c>
      <c r="C164" s="31" t="s">
        <v>50</v>
      </c>
      <c r="D164" s="31" t="s">
        <v>51</v>
      </c>
      <c r="E164" s="31" t="s">
        <v>52</v>
      </c>
      <c r="F164" s="31" t="s">
        <v>11</v>
      </c>
      <c r="G164" s="30">
        <v>400</v>
      </c>
      <c r="H164" s="32" t="s">
        <v>53</v>
      </c>
    </row>
    <row r="165" spans="1:8" ht="15" customHeight="1" x14ac:dyDescent="0.3">
      <c r="A165" s="34">
        <v>1</v>
      </c>
      <c r="B165" s="35">
        <v>44207</v>
      </c>
      <c r="C165" s="31" t="s">
        <v>50</v>
      </c>
      <c r="D165" s="32" t="s">
        <v>59</v>
      </c>
      <c r="E165" s="31" t="s">
        <v>40</v>
      </c>
      <c r="F165" s="31" t="s">
        <v>33</v>
      </c>
      <c r="G165" s="30">
        <v>100</v>
      </c>
      <c r="H165" s="32" t="s">
        <v>53</v>
      </c>
    </row>
    <row r="166" spans="1:8" ht="15" customHeight="1" x14ac:dyDescent="0.3">
      <c r="A166" s="34">
        <v>1</v>
      </c>
      <c r="B166" s="35">
        <v>44207</v>
      </c>
      <c r="C166" s="31" t="s">
        <v>50</v>
      </c>
      <c r="D166" s="31" t="s">
        <v>51</v>
      </c>
      <c r="E166" s="31" t="s">
        <v>52</v>
      </c>
      <c r="F166" s="31" t="s">
        <v>11</v>
      </c>
      <c r="G166" s="30">
        <v>100</v>
      </c>
      <c r="H166" s="32" t="s">
        <v>53</v>
      </c>
    </row>
    <row r="167" spans="1:8" ht="15" customHeight="1" x14ac:dyDescent="0.3">
      <c r="A167" s="34">
        <v>1</v>
      </c>
      <c r="B167" s="35">
        <v>44159</v>
      </c>
      <c r="C167" s="31" t="s">
        <v>50</v>
      </c>
      <c r="D167" s="32" t="s">
        <v>59</v>
      </c>
      <c r="E167" s="31" t="s">
        <v>40</v>
      </c>
      <c r="F167" s="31" t="s">
        <v>33</v>
      </c>
      <c r="G167" s="30">
        <v>100</v>
      </c>
      <c r="H167" s="32" t="s">
        <v>53</v>
      </c>
    </row>
    <row r="168" spans="1:8" ht="15" customHeight="1" x14ac:dyDescent="0.3">
      <c r="A168" s="34">
        <v>1</v>
      </c>
      <c r="B168" s="35">
        <v>44159</v>
      </c>
      <c r="C168" s="31" t="s">
        <v>50</v>
      </c>
      <c r="D168" s="31" t="s">
        <v>51</v>
      </c>
      <c r="E168" s="31" t="s">
        <v>52</v>
      </c>
      <c r="F168" s="31" t="s">
        <v>11</v>
      </c>
      <c r="G168" s="30">
        <v>100</v>
      </c>
      <c r="H168" s="32" t="s">
        <v>53</v>
      </c>
    </row>
    <row r="169" spans="1:8" ht="15" customHeight="1" x14ac:dyDescent="0.3">
      <c r="A169" s="34">
        <v>1</v>
      </c>
      <c r="B169" s="35">
        <v>44144</v>
      </c>
      <c r="C169" s="31" t="s">
        <v>50</v>
      </c>
      <c r="D169" s="32" t="s">
        <v>59</v>
      </c>
      <c r="E169" s="31" t="s">
        <v>40</v>
      </c>
      <c r="F169" s="31" t="s">
        <v>33</v>
      </c>
      <c r="G169" s="30">
        <v>100</v>
      </c>
      <c r="H169" s="32" t="s">
        <v>53</v>
      </c>
    </row>
    <row r="170" spans="1:8" ht="15" customHeight="1" x14ac:dyDescent="0.3">
      <c r="A170" s="34">
        <v>1</v>
      </c>
      <c r="B170" s="35">
        <v>44144</v>
      </c>
      <c r="C170" s="31" t="s">
        <v>50</v>
      </c>
      <c r="D170" s="31" t="s">
        <v>51</v>
      </c>
      <c r="E170" s="31" t="s">
        <v>52</v>
      </c>
      <c r="F170" s="31" t="s">
        <v>11</v>
      </c>
      <c r="G170" s="30">
        <v>100</v>
      </c>
      <c r="H170" s="32" t="s">
        <v>53</v>
      </c>
    </row>
    <row r="171" spans="1:8" ht="15" customHeight="1" x14ac:dyDescent="0.3">
      <c r="A171" s="34">
        <v>1</v>
      </c>
      <c r="B171" s="35">
        <v>44105</v>
      </c>
      <c r="C171" s="31" t="s">
        <v>50</v>
      </c>
      <c r="D171" s="32" t="s">
        <v>59</v>
      </c>
      <c r="E171" s="31" t="s">
        <v>40</v>
      </c>
      <c r="F171" s="31" t="s">
        <v>33</v>
      </c>
      <c r="G171" s="30">
        <v>200</v>
      </c>
      <c r="H171" s="32" t="s">
        <v>53</v>
      </c>
    </row>
    <row r="172" spans="1:8" ht="15" customHeight="1" x14ac:dyDescent="0.3">
      <c r="A172" s="34">
        <v>1</v>
      </c>
      <c r="B172" s="35">
        <v>44105</v>
      </c>
      <c r="C172" s="31" t="s">
        <v>50</v>
      </c>
      <c r="D172" s="31" t="s">
        <v>51</v>
      </c>
      <c r="E172" s="31" t="s">
        <v>52</v>
      </c>
      <c r="F172" s="31" t="s">
        <v>11</v>
      </c>
      <c r="G172" s="30">
        <v>200</v>
      </c>
      <c r="H172" s="32" t="s">
        <v>53</v>
      </c>
    </row>
    <row r="173" spans="1:8" ht="15" customHeight="1" x14ac:dyDescent="0.3">
      <c r="A173" s="34">
        <v>1</v>
      </c>
      <c r="B173" s="35">
        <v>44074</v>
      </c>
      <c r="C173" s="31" t="s">
        <v>50</v>
      </c>
      <c r="D173" s="32" t="s">
        <v>59</v>
      </c>
      <c r="E173" s="31" t="s">
        <v>40</v>
      </c>
      <c r="F173" s="31" t="s">
        <v>33</v>
      </c>
      <c r="G173" s="30">
        <v>100</v>
      </c>
      <c r="H173" s="32" t="s">
        <v>53</v>
      </c>
    </row>
    <row r="174" spans="1:8" ht="15" customHeight="1" x14ac:dyDescent="0.3">
      <c r="A174" s="34">
        <v>1</v>
      </c>
      <c r="B174" s="35">
        <v>44074</v>
      </c>
      <c r="C174" s="31" t="s">
        <v>50</v>
      </c>
      <c r="D174" s="31" t="s">
        <v>51</v>
      </c>
      <c r="E174" s="31" t="s">
        <v>52</v>
      </c>
      <c r="F174" s="31" t="s">
        <v>11</v>
      </c>
      <c r="G174" s="30">
        <v>100</v>
      </c>
      <c r="H174" s="32" t="s">
        <v>53</v>
      </c>
    </row>
    <row r="175" spans="1:8" ht="15" customHeight="1" x14ac:dyDescent="0.3">
      <c r="A175" s="34">
        <v>1</v>
      </c>
      <c r="B175" s="35">
        <v>44047</v>
      </c>
      <c r="C175" s="31" t="s">
        <v>50</v>
      </c>
      <c r="D175" s="32" t="s">
        <v>59</v>
      </c>
      <c r="E175" s="31" t="s">
        <v>40</v>
      </c>
      <c r="F175" s="31" t="s">
        <v>33</v>
      </c>
      <c r="G175" s="30">
        <v>200</v>
      </c>
      <c r="H175" s="32" t="s">
        <v>53</v>
      </c>
    </row>
    <row r="176" spans="1:8" ht="15" customHeight="1" x14ac:dyDescent="0.3">
      <c r="A176" s="34">
        <v>1</v>
      </c>
      <c r="B176" s="35">
        <v>44047</v>
      </c>
      <c r="C176" s="31" t="s">
        <v>50</v>
      </c>
      <c r="D176" s="31" t="s">
        <v>51</v>
      </c>
      <c r="E176" s="31" t="s">
        <v>52</v>
      </c>
      <c r="F176" s="31" t="s">
        <v>11</v>
      </c>
      <c r="G176" s="30">
        <v>200</v>
      </c>
      <c r="H176" s="32" t="s">
        <v>53</v>
      </c>
    </row>
    <row r="177" spans="1:8" ht="15" customHeight="1" x14ac:dyDescent="0.3">
      <c r="A177" s="34">
        <v>1</v>
      </c>
      <c r="B177" s="35">
        <v>43997</v>
      </c>
      <c r="C177" s="31" t="s">
        <v>50</v>
      </c>
      <c r="D177" s="32" t="s">
        <v>59</v>
      </c>
      <c r="E177" s="31" t="s">
        <v>40</v>
      </c>
      <c r="F177" s="31" t="s">
        <v>33</v>
      </c>
      <c r="G177" s="30">
        <v>200</v>
      </c>
      <c r="H177" s="32" t="s">
        <v>53</v>
      </c>
    </row>
    <row r="178" spans="1:8" ht="15" customHeight="1" x14ac:dyDescent="0.3">
      <c r="A178" s="34">
        <v>1</v>
      </c>
      <c r="B178" s="35">
        <v>43997</v>
      </c>
      <c r="C178" s="31" t="s">
        <v>50</v>
      </c>
      <c r="D178" s="31" t="s">
        <v>51</v>
      </c>
      <c r="E178" s="31" t="s">
        <v>52</v>
      </c>
      <c r="F178" s="31" t="s">
        <v>11</v>
      </c>
      <c r="G178" s="30">
        <v>200</v>
      </c>
      <c r="H178" s="32" t="s">
        <v>53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J78"/>
  <sheetViews>
    <sheetView workbookViewId="0">
      <selection activeCell="D16" sqref="D16"/>
    </sheetView>
  </sheetViews>
  <sheetFormatPr defaultRowHeight="14.4" x14ac:dyDescent="0.3"/>
  <cols>
    <col min="1" max="1" width="11.44140625" style="17" bestFit="1" customWidth="1"/>
    <col min="2" max="2" width="21.109375" style="18" bestFit="1" customWidth="1"/>
    <col min="3" max="3" width="21.109375" style="19" bestFit="1" customWidth="1"/>
    <col min="4" max="6" width="21.33203125" style="19" bestFit="1" customWidth="1"/>
    <col min="7" max="7" width="22.44140625" style="20" bestFit="1" customWidth="1"/>
    <col min="8" max="8" width="12.88671875" bestFit="1" customWidth="1"/>
    <col min="9" max="9" width="13.5546875" bestFit="1" customWidth="1"/>
    <col min="10" max="10" width="11.5546875" style="4" bestFit="1" customWidth="1"/>
  </cols>
  <sheetData>
    <row r="1" spans="1:10" ht="19.5" customHeight="1" x14ac:dyDescent="0.3">
      <c r="A1" s="12" t="s">
        <v>0</v>
      </c>
      <c r="B1" s="21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11" t="s">
        <v>6</v>
      </c>
    </row>
    <row r="2" spans="1:10" ht="19.5" customHeight="1" x14ac:dyDescent="0.3">
      <c r="A2" s="12">
        <v>1</v>
      </c>
      <c r="B2" s="21">
        <v>43997</v>
      </c>
      <c r="C2" s="7" t="s">
        <v>50</v>
      </c>
      <c r="D2" s="7" t="s">
        <v>51</v>
      </c>
      <c r="E2" s="7" t="s">
        <v>52</v>
      </c>
      <c r="F2" s="7" t="s">
        <v>11</v>
      </c>
      <c r="G2" s="11">
        <v>200</v>
      </c>
      <c r="J2" s="9"/>
    </row>
    <row r="3" spans="1:10" ht="19.5" customHeight="1" x14ac:dyDescent="0.3">
      <c r="A3" s="12">
        <v>1</v>
      </c>
      <c r="B3" s="21">
        <v>44047</v>
      </c>
      <c r="C3" s="7" t="s">
        <v>50</v>
      </c>
      <c r="D3" s="7" t="s">
        <v>51</v>
      </c>
      <c r="E3" s="7" t="s">
        <v>52</v>
      </c>
      <c r="F3" s="7" t="s">
        <v>11</v>
      </c>
      <c r="G3" s="11">
        <v>200</v>
      </c>
    </row>
    <row r="4" spans="1:10" ht="19.5" customHeight="1" x14ac:dyDescent="0.3">
      <c r="A4" s="12">
        <v>1</v>
      </c>
      <c r="B4" s="21">
        <v>44074</v>
      </c>
      <c r="C4" s="7" t="s">
        <v>50</v>
      </c>
      <c r="D4" s="7" t="s">
        <v>51</v>
      </c>
      <c r="E4" s="7" t="s">
        <v>52</v>
      </c>
      <c r="F4" s="7" t="s">
        <v>11</v>
      </c>
      <c r="G4" s="11">
        <v>100</v>
      </c>
      <c r="H4" s="23"/>
    </row>
    <row r="5" spans="1:10" ht="19.5" customHeight="1" x14ac:dyDescent="0.3">
      <c r="A5" s="12">
        <v>1</v>
      </c>
      <c r="B5" s="21">
        <v>44105</v>
      </c>
      <c r="C5" s="7" t="s">
        <v>50</v>
      </c>
      <c r="D5" s="7" t="s">
        <v>51</v>
      </c>
      <c r="E5" s="7" t="s">
        <v>52</v>
      </c>
      <c r="F5" s="7" t="s">
        <v>11</v>
      </c>
      <c r="G5" s="11">
        <v>200</v>
      </c>
    </row>
    <row r="6" spans="1:10" ht="19.5" customHeight="1" x14ac:dyDescent="0.3">
      <c r="A6" s="12">
        <v>1</v>
      </c>
      <c r="B6" s="21">
        <v>44144</v>
      </c>
      <c r="C6" s="7" t="s">
        <v>50</v>
      </c>
      <c r="D6" s="7" t="s">
        <v>51</v>
      </c>
      <c r="E6" s="7" t="s">
        <v>52</v>
      </c>
      <c r="F6" s="7" t="s">
        <v>11</v>
      </c>
      <c r="G6" s="11">
        <v>100</v>
      </c>
    </row>
    <row r="7" spans="1:10" ht="19.5" customHeight="1" x14ac:dyDescent="0.3">
      <c r="A7" s="12">
        <v>1</v>
      </c>
      <c r="B7" s="21">
        <v>44159</v>
      </c>
      <c r="C7" s="7" t="s">
        <v>50</v>
      </c>
      <c r="D7" s="7" t="s">
        <v>51</v>
      </c>
      <c r="E7" s="7" t="s">
        <v>52</v>
      </c>
      <c r="F7" s="7" t="s">
        <v>11</v>
      </c>
      <c r="G7" s="11">
        <v>100</v>
      </c>
    </row>
    <row r="8" spans="1:10" ht="19.5" customHeight="1" x14ac:dyDescent="0.3">
      <c r="A8" s="12">
        <v>1</v>
      </c>
      <c r="B8" s="21">
        <v>44207</v>
      </c>
      <c r="C8" s="7" t="s">
        <v>50</v>
      </c>
      <c r="D8" s="7" t="s">
        <v>51</v>
      </c>
      <c r="E8" s="7" t="s">
        <v>52</v>
      </c>
      <c r="F8" s="7" t="s">
        <v>11</v>
      </c>
      <c r="G8" s="11">
        <v>100</v>
      </c>
    </row>
    <row r="9" spans="1:10" ht="19.5" customHeight="1" x14ac:dyDescent="0.3">
      <c r="A9" s="12">
        <v>1</v>
      </c>
      <c r="B9" s="21">
        <v>44305</v>
      </c>
      <c r="C9" s="7" t="s">
        <v>50</v>
      </c>
      <c r="D9" s="7" t="s">
        <v>51</v>
      </c>
      <c r="E9" s="7" t="s">
        <v>52</v>
      </c>
      <c r="F9" s="7" t="s">
        <v>11</v>
      </c>
      <c r="G9" s="11">
        <v>400</v>
      </c>
    </row>
    <row r="10" spans="1:10" ht="19.5" customHeight="1" x14ac:dyDescent="0.3">
      <c r="A10" s="12">
        <v>1</v>
      </c>
      <c r="B10" s="21">
        <v>44347</v>
      </c>
      <c r="C10" s="7" t="s">
        <v>50</v>
      </c>
      <c r="D10" s="7" t="s">
        <v>51</v>
      </c>
      <c r="E10" s="7" t="s">
        <v>52</v>
      </c>
      <c r="F10" s="7" t="s">
        <v>11</v>
      </c>
      <c r="G10" s="11">
        <v>600</v>
      </c>
    </row>
    <row r="11" spans="1:10" ht="19.5" customHeight="1" x14ac:dyDescent="0.3">
      <c r="A11" s="12">
        <v>1</v>
      </c>
      <c r="B11" s="21">
        <v>44396</v>
      </c>
      <c r="C11" s="7" t="s">
        <v>50</v>
      </c>
      <c r="D11" s="7" t="s">
        <v>51</v>
      </c>
      <c r="E11" s="7" t="s">
        <v>52</v>
      </c>
      <c r="F11" s="7" t="s">
        <v>11</v>
      </c>
      <c r="G11" s="11">
        <v>1000</v>
      </c>
    </row>
    <row r="12" spans="1:10" ht="19.5" customHeight="1" x14ac:dyDescent="0.3">
      <c r="A12" s="13">
        <v>1</v>
      </c>
      <c r="B12" s="14">
        <v>44770</v>
      </c>
      <c r="C12" s="15" t="s">
        <v>50</v>
      </c>
      <c r="D12" s="15" t="s">
        <v>51</v>
      </c>
      <c r="E12" s="15" t="s">
        <v>52</v>
      </c>
      <c r="F12" s="15" t="s">
        <v>11</v>
      </c>
      <c r="G12" s="16">
        <v>-665.12</v>
      </c>
    </row>
    <row r="13" spans="1:10" ht="19.5" customHeight="1" x14ac:dyDescent="0.3">
      <c r="A13" s="13">
        <v>1</v>
      </c>
      <c r="B13" s="14">
        <v>44796</v>
      </c>
      <c r="C13" s="15" t="s">
        <v>50</v>
      </c>
      <c r="D13" s="15" t="s">
        <v>51</v>
      </c>
      <c r="E13" s="15" t="s">
        <v>52</v>
      </c>
      <c r="F13" s="15" t="s">
        <v>11</v>
      </c>
      <c r="G13" s="16">
        <v>342.92</v>
      </c>
    </row>
    <row r="14" spans="1:10" ht="19.5" customHeight="1" x14ac:dyDescent="0.3">
      <c r="A14" s="13">
        <v>1</v>
      </c>
      <c r="B14" s="14">
        <v>44825</v>
      </c>
      <c r="C14" s="15" t="s">
        <v>50</v>
      </c>
      <c r="D14" s="15" t="s">
        <v>51</v>
      </c>
      <c r="E14" s="15" t="s">
        <v>52</v>
      </c>
      <c r="F14" s="15" t="s">
        <v>11</v>
      </c>
      <c r="G14" s="16">
        <v>103.99</v>
      </c>
    </row>
    <row r="15" spans="1:10" ht="19.5" customHeight="1" x14ac:dyDescent="0.3">
      <c r="A15" s="13">
        <v>1</v>
      </c>
      <c r="B15" s="14">
        <v>44873</v>
      </c>
      <c r="C15" s="15" t="s">
        <v>50</v>
      </c>
      <c r="D15" s="15" t="s">
        <v>51</v>
      </c>
      <c r="E15" s="15" t="s">
        <v>52</v>
      </c>
      <c r="F15" s="15" t="s">
        <v>11</v>
      </c>
      <c r="G15" s="16">
        <v>1000</v>
      </c>
    </row>
    <row r="16" spans="1:10" ht="19.5" customHeight="1" x14ac:dyDescent="0.3">
      <c r="A16" s="12">
        <v>1</v>
      </c>
      <c r="B16" s="21">
        <v>44951</v>
      </c>
      <c r="C16" s="7" t="s">
        <v>50</v>
      </c>
      <c r="D16" s="7" t="s">
        <v>51</v>
      </c>
      <c r="E16" s="7" t="s">
        <v>52</v>
      </c>
      <c r="F16" s="7" t="s">
        <v>11</v>
      </c>
      <c r="G16" s="11">
        <v>748.42</v>
      </c>
    </row>
    <row r="17" spans="1:7" ht="19.5" customHeight="1" x14ac:dyDescent="0.3">
      <c r="A17" s="12">
        <v>1</v>
      </c>
      <c r="B17" s="21">
        <v>44984</v>
      </c>
      <c r="C17" s="7" t="s">
        <v>50</v>
      </c>
      <c r="D17" s="7" t="s">
        <v>51</v>
      </c>
      <c r="E17" s="7" t="s">
        <v>52</v>
      </c>
      <c r="F17" s="7" t="s">
        <v>11</v>
      </c>
      <c r="G17" s="11">
        <v>1789.51</v>
      </c>
    </row>
    <row r="18" spans="1:7" ht="19.5" customHeight="1" x14ac:dyDescent="0.3">
      <c r="A18" s="12">
        <v>1</v>
      </c>
      <c r="B18" s="21">
        <v>45044</v>
      </c>
      <c r="C18" s="7" t="s">
        <v>50</v>
      </c>
      <c r="D18" s="7" t="s">
        <v>51</v>
      </c>
      <c r="E18" s="7" t="s">
        <v>52</v>
      </c>
      <c r="F18" s="7" t="s">
        <v>11</v>
      </c>
      <c r="G18" s="11">
        <v>500</v>
      </c>
    </row>
    <row r="19" spans="1:7" ht="19.5" customHeight="1" x14ac:dyDescent="0.3">
      <c r="A19" s="12">
        <v>1</v>
      </c>
      <c r="B19" s="21">
        <v>45068</v>
      </c>
      <c r="C19" s="7" t="s">
        <v>50</v>
      </c>
      <c r="D19" s="7" t="s">
        <v>51</v>
      </c>
      <c r="E19" s="7" t="s">
        <v>52</v>
      </c>
      <c r="F19" s="7" t="s">
        <v>11</v>
      </c>
      <c r="G19" s="11">
        <v>380.28</v>
      </c>
    </row>
    <row r="20" spans="1:7" ht="19.5" customHeight="1" x14ac:dyDescent="0.3">
      <c r="A20" s="12">
        <v>1</v>
      </c>
      <c r="B20" s="21">
        <v>45090</v>
      </c>
      <c r="C20" s="7" t="s">
        <v>50</v>
      </c>
      <c r="D20" s="7" t="s">
        <v>51</v>
      </c>
      <c r="E20" s="7" t="s">
        <v>52</v>
      </c>
      <c r="F20" s="7" t="s">
        <v>11</v>
      </c>
      <c r="G20" s="11">
        <v>500</v>
      </c>
    </row>
    <row r="21" spans="1:7" ht="19.5" customHeight="1" x14ac:dyDescent="0.3">
      <c r="A21" s="12">
        <v>1</v>
      </c>
      <c r="B21" s="21">
        <v>45124</v>
      </c>
      <c r="C21" s="7" t="s">
        <v>50</v>
      </c>
      <c r="D21" s="7" t="s">
        <v>51</v>
      </c>
      <c r="E21" s="7" t="s">
        <v>52</v>
      </c>
      <c r="F21" s="7" t="s">
        <v>11</v>
      </c>
      <c r="G21" s="11">
        <v>500</v>
      </c>
    </row>
    <row r="22" spans="1:7" ht="19.5" customHeight="1" x14ac:dyDescent="0.3">
      <c r="A22" s="12">
        <v>1</v>
      </c>
      <c r="B22" s="21">
        <v>45141</v>
      </c>
      <c r="C22" s="7" t="s">
        <v>50</v>
      </c>
      <c r="D22" s="7" t="s">
        <v>51</v>
      </c>
      <c r="E22" s="7" t="s">
        <v>52</v>
      </c>
      <c r="F22" s="7" t="s">
        <v>11</v>
      </c>
      <c r="G22" s="11">
        <v>500</v>
      </c>
    </row>
    <row r="23" spans="1:7" ht="19.5" customHeight="1" x14ac:dyDescent="0.3">
      <c r="A23" s="12">
        <v>1</v>
      </c>
      <c r="B23" s="21">
        <v>45147</v>
      </c>
      <c r="C23" s="7" t="s">
        <v>50</v>
      </c>
      <c r="D23" s="7" t="s">
        <v>51</v>
      </c>
      <c r="E23" s="7" t="s">
        <v>52</v>
      </c>
      <c r="F23" s="7" t="s">
        <v>11</v>
      </c>
      <c r="G23" s="11">
        <v>300</v>
      </c>
    </row>
    <row r="24" spans="1:7" ht="19.5" customHeight="1" x14ac:dyDescent="0.3">
      <c r="A24" s="12">
        <v>1</v>
      </c>
      <c r="B24" s="21">
        <v>45169</v>
      </c>
      <c r="C24" s="7" t="s">
        <v>50</v>
      </c>
      <c r="D24" s="7" t="s">
        <v>51</v>
      </c>
      <c r="E24" s="7" t="s">
        <v>52</v>
      </c>
      <c r="F24" s="7" t="s">
        <v>11</v>
      </c>
      <c r="G24" s="11">
        <v>1500</v>
      </c>
    </row>
    <row r="25" spans="1:7" ht="19.5" customHeight="1" x14ac:dyDescent="0.3">
      <c r="A25" s="12">
        <v>1</v>
      </c>
      <c r="B25" s="21">
        <v>45201</v>
      </c>
      <c r="C25" s="7" t="s">
        <v>50</v>
      </c>
      <c r="D25" s="7" t="s">
        <v>51</v>
      </c>
      <c r="E25" s="7" t="s">
        <v>52</v>
      </c>
      <c r="F25" s="7" t="s">
        <v>11</v>
      </c>
      <c r="G25" s="11">
        <v>700</v>
      </c>
    </row>
    <row r="26" spans="1:7" ht="18.75" customHeight="1" x14ac:dyDescent="0.3">
      <c r="A26" s="12">
        <v>1</v>
      </c>
      <c r="B26" s="21">
        <v>45230</v>
      </c>
      <c r="C26" s="7" t="s">
        <v>50</v>
      </c>
      <c r="D26" s="7" t="s">
        <v>51</v>
      </c>
      <c r="E26" s="7" t="s">
        <v>52</v>
      </c>
      <c r="F26" s="7" t="s">
        <v>11</v>
      </c>
      <c r="G26" s="11">
        <v>1200</v>
      </c>
    </row>
    <row r="27" spans="1:7" ht="18.75" customHeight="1" x14ac:dyDescent="0.3">
      <c r="A27" s="12">
        <v>1</v>
      </c>
      <c r="B27" s="21">
        <v>45260</v>
      </c>
      <c r="C27" s="7" t="s">
        <v>50</v>
      </c>
      <c r="D27" s="7" t="s">
        <v>51</v>
      </c>
      <c r="E27" s="7" t="s">
        <v>52</v>
      </c>
      <c r="F27" s="7" t="s">
        <v>11</v>
      </c>
      <c r="G27" s="11">
        <v>1500</v>
      </c>
    </row>
    <row r="28" spans="1:7" ht="18.75" customHeight="1" x14ac:dyDescent="0.3">
      <c r="A28" s="12">
        <v>1</v>
      </c>
      <c r="B28" s="21">
        <v>45291</v>
      </c>
      <c r="C28" s="7" t="s">
        <v>50</v>
      </c>
      <c r="D28" s="7" t="s">
        <v>54</v>
      </c>
      <c r="E28" s="7" t="s">
        <v>52</v>
      </c>
      <c r="F28" s="7" t="s">
        <v>11</v>
      </c>
      <c r="G28" s="11">
        <v>650</v>
      </c>
    </row>
    <row r="29" spans="1:7" ht="18.75" customHeight="1" x14ac:dyDescent="0.3">
      <c r="A29" s="12">
        <v>1</v>
      </c>
      <c r="B29" s="21">
        <v>45291</v>
      </c>
      <c r="C29" s="7" t="s">
        <v>50</v>
      </c>
      <c r="D29" s="7" t="s">
        <v>55</v>
      </c>
      <c r="E29" s="7" t="s">
        <v>52</v>
      </c>
      <c r="F29" s="7" t="s">
        <v>11</v>
      </c>
      <c r="G29" s="11">
        <v>2500</v>
      </c>
    </row>
    <row r="30" spans="1:7" ht="18.75" customHeight="1" x14ac:dyDescent="0.3">
      <c r="A30" s="12">
        <v>1</v>
      </c>
      <c r="B30" s="21">
        <v>45322</v>
      </c>
      <c r="C30" s="7" t="s">
        <v>50</v>
      </c>
      <c r="D30" s="7" t="s">
        <v>51</v>
      </c>
      <c r="E30" s="7" t="s">
        <v>52</v>
      </c>
      <c r="F30" s="7" t="s">
        <v>11</v>
      </c>
      <c r="G30" s="22">
        <v>2100</v>
      </c>
    </row>
    <row r="31" spans="1:7" ht="18.75" customHeight="1" x14ac:dyDescent="0.3">
      <c r="A31" s="12">
        <v>1</v>
      </c>
      <c r="B31" s="21">
        <v>45350</v>
      </c>
      <c r="C31" s="7" t="s">
        <v>50</v>
      </c>
      <c r="D31" s="7" t="s">
        <v>51</v>
      </c>
      <c r="E31" s="7" t="s">
        <v>52</v>
      </c>
      <c r="F31" s="7" t="s">
        <v>11</v>
      </c>
      <c r="G31" s="22">
        <v>1100</v>
      </c>
    </row>
    <row r="32" spans="1:7" ht="18.75" customHeight="1" x14ac:dyDescent="0.3">
      <c r="A32" s="12">
        <v>1</v>
      </c>
      <c r="B32" s="21">
        <v>45382</v>
      </c>
      <c r="C32" s="7" t="s">
        <v>50</v>
      </c>
      <c r="D32" s="7" t="s">
        <v>51</v>
      </c>
      <c r="E32" s="7" t="s">
        <v>52</v>
      </c>
      <c r="F32" s="7" t="s">
        <v>11</v>
      </c>
      <c r="G32" s="22">
        <v>1900</v>
      </c>
    </row>
    <row r="33" spans="1:7" ht="18.75" customHeight="1" x14ac:dyDescent="0.3">
      <c r="A33" s="12">
        <v>1</v>
      </c>
      <c r="B33" s="21">
        <v>45412</v>
      </c>
      <c r="C33" s="7" t="s">
        <v>50</v>
      </c>
      <c r="D33" s="7" t="s">
        <v>51</v>
      </c>
      <c r="E33" s="7" t="s">
        <v>52</v>
      </c>
      <c r="F33" s="7" t="s">
        <v>11</v>
      </c>
      <c r="G33" s="22">
        <v>1450</v>
      </c>
    </row>
    <row r="34" spans="1:7" ht="18.75" customHeight="1" x14ac:dyDescent="0.3">
      <c r="A34" s="12">
        <v>1</v>
      </c>
      <c r="B34" s="21">
        <v>45443</v>
      </c>
      <c r="C34" s="7" t="s">
        <v>50</v>
      </c>
      <c r="D34" s="7" t="s">
        <v>51</v>
      </c>
      <c r="E34" s="7" t="s">
        <v>52</v>
      </c>
      <c r="F34" s="7" t="s">
        <v>11</v>
      </c>
      <c r="G34" s="22">
        <v>769.59</v>
      </c>
    </row>
    <row r="35" spans="1:7" ht="18.75" customHeight="1" x14ac:dyDescent="0.3">
      <c r="A35" s="12">
        <v>1</v>
      </c>
      <c r="B35" s="21">
        <v>45443</v>
      </c>
      <c r="C35" s="7" t="s">
        <v>56</v>
      </c>
      <c r="D35" s="7" t="s">
        <v>56</v>
      </c>
      <c r="E35" s="7" t="s">
        <v>52</v>
      </c>
      <c r="F35" s="7" t="s">
        <v>11</v>
      </c>
      <c r="G35" s="11">
        <v>1000</v>
      </c>
    </row>
    <row r="36" spans="1:7" ht="18.75" customHeight="1" x14ac:dyDescent="0.3">
      <c r="A36" s="12">
        <v>1</v>
      </c>
      <c r="B36" s="21">
        <v>45473</v>
      </c>
      <c r="C36" s="7" t="s">
        <v>50</v>
      </c>
      <c r="D36" s="7" t="s">
        <v>51</v>
      </c>
      <c r="E36" s="7" t="s">
        <v>52</v>
      </c>
      <c r="F36" s="7" t="s">
        <v>11</v>
      </c>
      <c r="G36" s="22">
        <v>1980</v>
      </c>
    </row>
    <row r="37" spans="1:7" ht="18.75" customHeight="1" x14ac:dyDescent="0.3">
      <c r="A37" s="12">
        <v>1</v>
      </c>
      <c r="B37" s="21">
        <v>45565</v>
      </c>
      <c r="C37" s="7" t="s">
        <v>50</v>
      </c>
      <c r="D37" s="7" t="s">
        <v>51</v>
      </c>
      <c r="E37" s="7" t="s">
        <v>52</v>
      </c>
      <c r="F37" s="7" t="s">
        <v>11</v>
      </c>
      <c r="G37" s="22">
        <v>650</v>
      </c>
    </row>
    <row r="38" spans="1:7" ht="18.75" customHeight="1" x14ac:dyDescent="0.3">
      <c r="A38" s="12">
        <v>1</v>
      </c>
      <c r="B38" s="21">
        <v>45596</v>
      </c>
      <c r="C38" s="7" t="s">
        <v>50</v>
      </c>
      <c r="D38" s="7" t="s">
        <v>51</v>
      </c>
      <c r="E38" s="7" t="s">
        <v>52</v>
      </c>
      <c r="F38" s="7" t="s">
        <v>11</v>
      </c>
      <c r="G38" s="22">
        <v>1800</v>
      </c>
    </row>
    <row r="39" spans="1:7" ht="18.75" customHeight="1" x14ac:dyDescent="0.3">
      <c r="A39" s="12">
        <v>1</v>
      </c>
      <c r="B39" s="21">
        <v>45626</v>
      </c>
      <c r="C39" s="7" t="s">
        <v>56</v>
      </c>
      <c r="D39" s="7" t="s">
        <v>56</v>
      </c>
      <c r="E39" s="7" t="s">
        <v>52</v>
      </c>
      <c r="F39" s="7" t="s">
        <v>11</v>
      </c>
      <c r="G39" s="11">
        <v>1178.6300000000001</v>
      </c>
    </row>
    <row r="40" spans="1:7" ht="18.75" customHeight="1" x14ac:dyDescent="0.3">
      <c r="A40" s="12">
        <v>1</v>
      </c>
      <c r="B40" s="21">
        <v>45626</v>
      </c>
      <c r="C40" s="7" t="s">
        <v>50</v>
      </c>
      <c r="D40" s="7" t="s">
        <v>51</v>
      </c>
      <c r="E40" s="7" t="s">
        <v>52</v>
      </c>
      <c r="F40" s="7" t="s">
        <v>11</v>
      </c>
      <c r="G40" s="22">
        <v>1549.84</v>
      </c>
    </row>
    <row r="41" spans="1:7" ht="18.75" customHeight="1" x14ac:dyDescent="0.3">
      <c r="A41" s="12">
        <v>1</v>
      </c>
      <c r="B41" s="21">
        <v>45647</v>
      </c>
      <c r="C41" s="7" t="s">
        <v>57</v>
      </c>
      <c r="D41" s="7" t="s">
        <v>57</v>
      </c>
      <c r="E41" s="7" t="s">
        <v>52</v>
      </c>
      <c r="F41" s="7" t="s">
        <v>11</v>
      </c>
      <c r="G41" s="11">
        <v>2000</v>
      </c>
    </row>
    <row r="42" spans="1:7" ht="18.75" customHeight="1" x14ac:dyDescent="0.3">
      <c r="A42" s="12">
        <v>1</v>
      </c>
      <c r="B42" s="21">
        <v>45657</v>
      </c>
      <c r="C42" s="7" t="s">
        <v>50</v>
      </c>
      <c r="D42" s="7" t="s">
        <v>51</v>
      </c>
      <c r="E42" s="7" t="s">
        <v>52</v>
      </c>
      <c r="F42" s="7" t="s">
        <v>11</v>
      </c>
      <c r="G42" s="22">
        <v>626.57000000000005</v>
      </c>
    </row>
    <row r="43" spans="1:7" ht="18.75" customHeight="1" x14ac:dyDescent="0.3">
      <c r="A43" s="12">
        <v>1</v>
      </c>
      <c r="B43" s="21">
        <v>45657</v>
      </c>
      <c r="C43" s="7" t="s">
        <v>50</v>
      </c>
      <c r="D43" s="7" t="s">
        <v>54</v>
      </c>
      <c r="E43" s="7" t="s">
        <v>52</v>
      </c>
      <c r="F43" s="7" t="s">
        <v>11</v>
      </c>
      <c r="G43" s="11">
        <v>1075</v>
      </c>
    </row>
    <row r="44" spans="1:7" ht="18.75" customHeight="1" x14ac:dyDescent="0.3">
      <c r="A44" s="12">
        <v>1</v>
      </c>
      <c r="B44" s="21">
        <v>45657</v>
      </c>
      <c r="C44" s="7" t="s">
        <v>56</v>
      </c>
      <c r="D44" s="7" t="s">
        <v>56</v>
      </c>
      <c r="E44" s="7" t="s">
        <v>52</v>
      </c>
      <c r="F44" s="7" t="s">
        <v>11</v>
      </c>
      <c r="G44" s="11">
        <v>1500</v>
      </c>
    </row>
    <row r="45" spans="1:7" ht="18.75" customHeight="1" x14ac:dyDescent="0.3">
      <c r="A45" s="12">
        <v>1</v>
      </c>
      <c r="B45" s="21">
        <v>45678</v>
      </c>
      <c r="C45" s="7" t="s">
        <v>50</v>
      </c>
      <c r="D45" s="7" t="s">
        <v>54</v>
      </c>
      <c r="E45" s="7" t="s">
        <v>52</v>
      </c>
      <c r="F45" s="7" t="s">
        <v>11</v>
      </c>
      <c r="G45" s="11">
        <v>800</v>
      </c>
    </row>
    <row r="46" spans="1:7" ht="18.75" customHeight="1" x14ac:dyDescent="0.3">
      <c r="A46" s="12">
        <v>1</v>
      </c>
      <c r="B46" s="21">
        <v>45688</v>
      </c>
      <c r="C46" s="7" t="s">
        <v>50</v>
      </c>
      <c r="D46" s="7" t="s">
        <v>54</v>
      </c>
      <c r="E46" s="7" t="s">
        <v>52</v>
      </c>
      <c r="F46" s="7" t="s">
        <v>11</v>
      </c>
      <c r="G46" s="11">
        <v>1000</v>
      </c>
    </row>
    <row r="47" spans="1:7" ht="18.75" customHeight="1" x14ac:dyDescent="0.3">
      <c r="A47" s="12">
        <v>1</v>
      </c>
      <c r="B47" s="21">
        <v>45688</v>
      </c>
      <c r="C47" s="7" t="s">
        <v>50</v>
      </c>
      <c r="D47" s="7" t="s">
        <v>51</v>
      </c>
      <c r="E47" s="7" t="s">
        <v>52</v>
      </c>
      <c r="F47" s="7" t="s">
        <v>11</v>
      </c>
      <c r="G47" s="22">
        <v>1500</v>
      </c>
    </row>
    <row r="48" spans="1:7" ht="18.75" customHeight="1" x14ac:dyDescent="0.3">
      <c r="A48" s="12">
        <v>1</v>
      </c>
      <c r="B48" s="21">
        <v>45688</v>
      </c>
      <c r="C48" s="7" t="s">
        <v>56</v>
      </c>
      <c r="D48" s="7" t="s">
        <v>56</v>
      </c>
      <c r="E48" s="7" t="s">
        <v>52</v>
      </c>
      <c r="F48" s="7" t="s">
        <v>11</v>
      </c>
      <c r="G48" s="11">
        <v>3129.77</v>
      </c>
    </row>
    <row r="49" spans="1:10" ht="18.75" customHeight="1" x14ac:dyDescent="0.3">
      <c r="A49" s="12">
        <v>1</v>
      </c>
      <c r="B49" s="21">
        <v>45716</v>
      </c>
      <c r="C49" s="7" t="s">
        <v>56</v>
      </c>
      <c r="D49" s="7" t="s">
        <v>56</v>
      </c>
      <c r="E49" s="7" t="s">
        <v>52</v>
      </c>
      <c r="F49" s="7" t="s">
        <v>11</v>
      </c>
      <c r="G49" s="11">
        <v>1200</v>
      </c>
    </row>
    <row r="50" spans="1:10" ht="18.75" customHeight="1" x14ac:dyDescent="0.3">
      <c r="A50" s="12">
        <v>1</v>
      </c>
      <c r="B50" s="21">
        <v>45716</v>
      </c>
      <c r="C50" s="7" t="s">
        <v>50</v>
      </c>
      <c r="D50" s="7" t="s">
        <v>51</v>
      </c>
      <c r="E50" s="7" t="s">
        <v>52</v>
      </c>
      <c r="F50" s="7" t="s">
        <v>11</v>
      </c>
      <c r="G50" s="22">
        <v>1950</v>
      </c>
    </row>
    <row r="51" spans="1:10" ht="18.75" customHeight="1" x14ac:dyDescent="0.3">
      <c r="A51" s="12">
        <v>1</v>
      </c>
      <c r="B51" s="21">
        <v>45747</v>
      </c>
      <c r="C51" s="7" t="s">
        <v>57</v>
      </c>
      <c r="D51" s="7" t="s">
        <v>57</v>
      </c>
      <c r="E51" s="7" t="s">
        <v>52</v>
      </c>
      <c r="F51" s="7" t="s">
        <v>11</v>
      </c>
      <c r="G51" s="11">
        <v>500</v>
      </c>
    </row>
    <row r="52" spans="1:10" ht="18.75" customHeight="1" x14ac:dyDescent="0.3">
      <c r="A52" s="12">
        <v>1</v>
      </c>
      <c r="B52" s="21">
        <v>45747</v>
      </c>
      <c r="C52" s="7" t="s">
        <v>50</v>
      </c>
      <c r="D52" s="7" t="s">
        <v>54</v>
      </c>
      <c r="E52" s="7" t="s">
        <v>52</v>
      </c>
      <c r="F52" s="7" t="s">
        <v>11</v>
      </c>
      <c r="G52" s="11">
        <v>625</v>
      </c>
    </row>
    <row r="53" spans="1:10" ht="18.75" customHeight="1" x14ac:dyDescent="0.3">
      <c r="A53" s="12">
        <v>1</v>
      </c>
      <c r="B53" s="21">
        <v>45747</v>
      </c>
      <c r="C53" s="7" t="s">
        <v>56</v>
      </c>
      <c r="D53" s="7" t="s">
        <v>56</v>
      </c>
      <c r="E53" s="7" t="s">
        <v>52</v>
      </c>
      <c r="F53" s="7" t="s">
        <v>11</v>
      </c>
      <c r="G53" s="11">
        <v>991.6</v>
      </c>
    </row>
    <row r="54" spans="1:10" ht="18.75" customHeight="1" x14ac:dyDescent="0.3">
      <c r="A54" s="12">
        <v>1</v>
      </c>
      <c r="B54" s="21">
        <v>45747</v>
      </c>
      <c r="C54" s="7" t="s">
        <v>50</v>
      </c>
      <c r="D54" s="7" t="s">
        <v>51</v>
      </c>
      <c r="E54" s="7" t="s">
        <v>52</v>
      </c>
      <c r="F54" s="7" t="s">
        <v>11</v>
      </c>
      <c r="G54" s="22">
        <v>2625</v>
      </c>
      <c r="J54" s="9"/>
    </row>
    <row r="55" spans="1:10" ht="18.75" customHeight="1" x14ac:dyDescent="0.3">
      <c r="A55" s="12">
        <v>1</v>
      </c>
      <c r="B55" s="21">
        <v>45751</v>
      </c>
      <c r="C55" s="7" t="s">
        <v>57</v>
      </c>
      <c r="D55" s="7" t="s">
        <v>57</v>
      </c>
      <c r="E55" s="7" t="s">
        <v>52</v>
      </c>
      <c r="F55" s="7" t="s">
        <v>11</v>
      </c>
      <c r="G55" s="11">
        <v>500</v>
      </c>
    </row>
    <row r="56" spans="1:10" ht="18.75" customHeight="1" x14ac:dyDescent="0.3">
      <c r="A56" s="12">
        <v>1</v>
      </c>
      <c r="B56" s="21">
        <v>45763</v>
      </c>
      <c r="C56" s="7" t="s">
        <v>57</v>
      </c>
      <c r="D56" s="7" t="s">
        <v>57</v>
      </c>
      <c r="E56" s="7" t="s">
        <v>52</v>
      </c>
      <c r="F56" s="7" t="s">
        <v>11</v>
      </c>
      <c r="G56" s="11">
        <v>750</v>
      </c>
    </row>
    <row r="57" spans="1:10" ht="18.75" customHeight="1" x14ac:dyDescent="0.3">
      <c r="A57" s="12">
        <v>1</v>
      </c>
      <c r="B57" s="21">
        <v>45776</v>
      </c>
      <c r="C57" s="7" t="s">
        <v>57</v>
      </c>
      <c r="D57" s="7" t="s">
        <v>57</v>
      </c>
      <c r="E57" s="7" t="s">
        <v>52</v>
      </c>
      <c r="F57" s="7" t="s">
        <v>11</v>
      </c>
      <c r="G57" s="11">
        <v>300</v>
      </c>
    </row>
    <row r="58" spans="1:10" ht="18.75" customHeight="1" x14ac:dyDescent="0.3">
      <c r="A58" s="12">
        <v>1</v>
      </c>
      <c r="B58" s="21">
        <v>45776</v>
      </c>
      <c r="C58" s="7" t="s">
        <v>57</v>
      </c>
      <c r="D58" s="7" t="s">
        <v>57</v>
      </c>
      <c r="E58" s="7" t="s">
        <v>52</v>
      </c>
      <c r="F58" s="7" t="s">
        <v>11</v>
      </c>
      <c r="G58" s="11">
        <v>300</v>
      </c>
    </row>
    <row r="59" spans="1:10" ht="18.75" customHeight="1" x14ac:dyDescent="0.3">
      <c r="A59" s="12">
        <v>1</v>
      </c>
      <c r="B59" s="21">
        <v>45777</v>
      </c>
      <c r="C59" s="7" t="s">
        <v>50</v>
      </c>
      <c r="D59" s="7" t="s">
        <v>54</v>
      </c>
      <c r="E59" s="7" t="s">
        <v>52</v>
      </c>
      <c r="F59" s="7" t="s">
        <v>11</v>
      </c>
      <c r="G59" s="11">
        <v>1150</v>
      </c>
    </row>
    <row r="60" spans="1:10" ht="18.75" customHeight="1" x14ac:dyDescent="0.3">
      <c r="A60" s="12">
        <v>1</v>
      </c>
      <c r="B60" s="21">
        <v>45777</v>
      </c>
      <c r="C60" s="7" t="s">
        <v>56</v>
      </c>
      <c r="D60" s="7" t="s">
        <v>56</v>
      </c>
      <c r="E60" s="7" t="s">
        <v>52</v>
      </c>
      <c r="F60" s="7" t="s">
        <v>11</v>
      </c>
      <c r="G60" s="11">
        <v>2500</v>
      </c>
    </row>
    <row r="61" spans="1:10" ht="18.75" customHeight="1" x14ac:dyDescent="0.3">
      <c r="A61" s="12">
        <v>1</v>
      </c>
      <c r="B61" s="21">
        <v>45777</v>
      </c>
      <c r="C61" s="7" t="s">
        <v>50</v>
      </c>
      <c r="D61" s="7" t="s">
        <v>51</v>
      </c>
      <c r="E61" s="7" t="s">
        <v>52</v>
      </c>
      <c r="F61" s="7" t="s">
        <v>11</v>
      </c>
      <c r="G61" s="22">
        <v>4200</v>
      </c>
    </row>
    <row r="62" spans="1:10" ht="18.75" customHeight="1" x14ac:dyDescent="0.3">
      <c r="A62" s="12">
        <v>1</v>
      </c>
      <c r="B62" s="21">
        <v>45784</v>
      </c>
      <c r="C62" s="7" t="s">
        <v>50</v>
      </c>
      <c r="D62" s="7" t="s">
        <v>54</v>
      </c>
      <c r="E62" s="7" t="s">
        <v>52</v>
      </c>
      <c r="F62" s="7" t="s">
        <v>11</v>
      </c>
      <c r="G62" s="11">
        <v>600</v>
      </c>
    </row>
    <row r="63" spans="1:10" ht="18.75" customHeight="1" x14ac:dyDescent="0.3">
      <c r="A63" s="12">
        <v>1</v>
      </c>
      <c r="B63" s="21">
        <v>45784</v>
      </c>
      <c r="C63" s="7" t="s">
        <v>50</v>
      </c>
      <c r="D63" s="7" t="s">
        <v>51</v>
      </c>
      <c r="E63" s="7" t="s">
        <v>52</v>
      </c>
      <c r="F63" s="7" t="s">
        <v>11</v>
      </c>
      <c r="G63" s="11">
        <v>1400</v>
      </c>
    </row>
    <row r="64" spans="1:10" ht="18.75" customHeight="1" x14ac:dyDescent="0.3">
      <c r="A64" s="12">
        <v>1</v>
      </c>
      <c r="B64" s="21">
        <v>45791</v>
      </c>
      <c r="C64" s="7" t="s">
        <v>50</v>
      </c>
      <c r="D64" s="7" t="s">
        <v>51</v>
      </c>
      <c r="E64" s="7" t="s">
        <v>52</v>
      </c>
      <c r="F64" s="7" t="s">
        <v>11</v>
      </c>
      <c r="G64" s="11">
        <v>210</v>
      </c>
    </row>
    <row r="65" spans="1:7" ht="18.75" customHeight="1" x14ac:dyDescent="0.3">
      <c r="A65" s="12">
        <v>1</v>
      </c>
      <c r="B65" s="21">
        <v>45803</v>
      </c>
      <c r="C65" s="7" t="s">
        <v>50</v>
      </c>
      <c r="D65" s="7" t="s">
        <v>51</v>
      </c>
      <c r="E65" s="7" t="s">
        <v>52</v>
      </c>
      <c r="F65" s="7" t="s">
        <v>11</v>
      </c>
      <c r="G65" s="11">
        <v>1290</v>
      </c>
    </row>
    <row r="66" spans="1:7" ht="18.75" customHeight="1" x14ac:dyDescent="0.3">
      <c r="A66" s="12">
        <v>1</v>
      </c>
      <c r="B66" s="21">
        <v>45808</v>
      </c>
      <c r="C66" s="7" t="s">
        <v>56</v>
      </c>
      <c r="D66" s="7" t="s">
        <v>56</v>
      </c>
      <c r="E66" s="7" t="s">
        <v>52</v>
      </c>
      <c r="F66" s="7" t="s">
        <v>11</v>
      </c>
      <c r="G66" s="11">
        <v>1200</v>
      </c>
    </row>
    <row r="67" spans="1:7" ht="18.75" customHeight="1" x14ac:dyDescent="0.3">
      <c r="A67" s="12">
        <v>1</v>
      </c>
      <c r="B67" s="21">
        <v>45810</v>
      </c>
      <c r="C67" s="7" t="s">
        <v>50</v>
      </c>
      <c r="D67" s="7" t="s">
        <v>51</v>
      </c>
      <c r="E67" s="7" t="s">
        <v>52</v>
      </c>
      <c r="F67" s="7" t="s">
        <v>11</v>
      </c>
      <c r="G67" s="11">
        <v>2000</v>
      </c>
    </row>
    <row r="68" spans="1:7" ht="18.75" customHeight="1" x14ac:dyDescent="0.3">
      <c r="A68" s="12">
        <v>1</v>
      </c>
      <c r="B68" s="21">
        <v>45821</v>
      </c>
      <c r="C68" s="7" t="s">
        <v>50</v>
      </c>
      <c r="D68" s="7" t="s">
        <v>51</v>
      </c>
      <c r="E68" s="7" t="s">
        <v>52</v>
      </c>
      <c r="F68" s="7" t="s">
        <v>11</v>
      </c>
      <c r="G68" s="11">
        <v>800</v>
      </c>
    </row>
    <row r="69" spans="1:7" ht="18.75" customHeight="1" x14ac:dyDescent="0.3">
      <c r="A69" s="12">
        <v>1</v>
      </c>
      <c r="B69" s="21">
        <v>45830</v>
      </c>
      <c r="C69" s="7" t="s">
        <v>50</v>
      </c>
      <c r="D69" s="7" t="s">
        <v>55</v>
      </c>
      <c r="E69" s="7" t="s">
        <v>52</v>
      </c>
      <c r="F69" s="7" t="s">
        <v>11</v>
      </c>
      <c r="G69" s="11">
        <v>1000</v>
      </c>
    </row>
    <row r="70" spans="1:7" ht="18.75" customHeight="1" x14ac:dyDescent="0.3">
      <c r="A70" s="12">
        <v>1</v>
      </c>
      <c r="B70" s="21">
        <v>45838</v>
      </c>
      <c r="C70" s="7" t="s">
        <v>50</v>
      </c>
      <c r="D70" s="7" t="s">
        <v>54</v>
      </c>
      <c r="E70" s="7" t="s">
        <v>52</v>
      </c>
      <c r="F70" s="7" t="s">
        <v>11</v>
      </c>
      <c r="G70" s="11">
        <v>500</v>
      </c>
    </row>
    <row r="71" spans="1:7" ht="18.75" customHeight="1" x14ac:dyDescent="0.3">
      <c r="A71" s="12">
        <v>1</v>
      </c>
      <c r="B71" s="21">
        <v>45838</v>
      </c>
      <c r="C71" s="7" t="s">
        <v>50</v>
      </c>
      <c r="D71" s="7" t="s">
        <v>51</v>
      </c>
      <c r="E71" s="7" t="s">
        <v>52</v>
      </c>
      <c r="F71" s="7" t="s">
        <v>11</v>
      </c>
      <c r="G71" s="11">
        <v>1500</v>
      </c>
    </row>
    <row r="72" spans="1:7" ht="18.75" customHeight="1" x14ac:dyDescent="0.3">
      <c r="A72" s="12">
        <v>1</v>
      </c>
      <c r="B72" s="21">
        <v>45838</v>
      </c>
      <c r="C72" s="7" t="s">
        <v>56</v>
      </c>
      <c r="D72" s="7" t="s">
        <v>56</v>
      </c>
      <c r="E72" s="7" t="s">
        <v>52</v>
      </c>
      <c r="F72" s="7" t="s">
        <v>11</v>
      </c>
      <c r="G72" s="11">
        <v>3300</v>
      </c>
    </row>
    <row r="73" spans="1:7" ht="18.75" customHeight="1" x14ac:dyDescent="0.3">
      <c r="A73" s="12">
        <v>1</v>
      </c>
      <c r="B73" s="21">
        <v>45852</v>
      </c>
      <c r="C73" s="7" t="s">
        <v>57</v>
      </c>
      <c r="D73" s="7" t="s">
        <v>57</v>
      </c>
      <c r="E73" s="7" t="s">
        <v>52</v>
      </c>
      <c r="F73" s="7" t="s">
        <v>11</v>
      </c>
      <c r="G73" s="11">
        <v>1000</v>
      </c>
    </row>
    <row r="74" spans="1:7" ht="18.75" customHeight="1" x14ac:dyDescent="0.3">
      <c r="A74" s="12">
        <v>1</v>
      </c>
      <c r="B74" s="21">
        <v>45858</v>
      </c>
      <c r="C74" s="7" t="s">
        <v>50</v>
      </c>
      <c r="D74" s="7" t="s">
        <v>51</v>
      </c>
      <c r="E74" s="7" t="s">
        <v>52</v>
      </c>
      <c r="F74" s="7" t="s">
        <v>11</v>
      </c>
      <c r="G74" s="11">
        <v>1750.86</v>
      </c>
    </row>
    <row r="75" spans="1:7" ht="18.75" customHeight="1" x14ac:dyDescent="0.3">
      <c r="A75" s="12">
        <v>1</v>
      </c>
      <c r="B75" s="21">
        <v>45869</v>
      </c>
      <c r="C75" s="7" t="s">
        <v>56</v>
      </c>
      <c r="D75" s="7" t="s">
        <v>56</v>
      </c>
      <c r="E75" s="7" t="s">
        <v>52</v>
      </c>
      <c r="F75" s="7" t="s">
        <v>11</v>
      </c>
      <c r="G75" s="11">
        <v>998.93</v>
      </c>
    </row>
    <row r="76" spans="1:7" ht="18.75" customHeight="1" x14ac:dyDescent="0.3">
      <c r="A76" s="12">
        <v>1</v>
      </c>
      <c r="B76" s="21">
        <v>45873</v>
      </c>
      <c r="C76" s="7" t="s">
        <v>50</v>
      </c>
      <c r="D76" s="7" t="s">
        <v>51</v>
      </c>
      <c r="E76" s="7" t="s">
        <v>52</v>
      </c>
      <c r="F76" s="7" t="s">
        <v>11</v>
      </c>
      <c r="G76" s="11">
        <v>1400</v>
      </c>
    </row>
    <row r="77" spans="1:7" ht="18.75" customHeight="1" x14ac:dyDescent="0.3">
      <c r="A77" s="12">
        <v>1</v>
      </c>
      <c r="B77" s="21">
        <v>45875</v>
      </c>
      <c r="C77" s="7" t="s">
        <v>50</v>
      </c>
      <c r="D77" s="7" t="s">
        <v>51</v>
      </c>
      <c r="E77" s="7" t="s">
        <v>52</v>
      </c>
      <c r="F77" s="7" t="s">
        <v>11</v>
      </c>
      <c r="G77" s="11">
        <v>1000</v>
      </c>
    </row>
    <row r="78" spans="1:7" ht="18.75" customHeight="1" x14ac:dyDescent="0.3">
      <c r="A78" s="12">
        <v>1</v>
      </c>
      <c r="B78" s="21">
        <v>45900</v>
      </c>
      <c r="C78" s="7" t="s">
        <v>56</v>
      </c>
      <c r="D78" s="7" t="s">
        <v>56</v>
      </c>
      <c r="E78" s="7" t="s">
        <v>52</v>
      </c>
      <c r="F78" s="7" t="s">
        <v>11</v>
      </c>
      <c r="G78" s="11">
        <v>1000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FC6CB-B5A3-4B48-AEB0-A9415F1B5D9B}">
  <dimension ref="A1:H505"/>
  <sheetViews>
    <sheetView tabSelected="1" workbookViewId="0">
      <selection activeCell="L475" sqref="L475"/>
    </sheetView>
  </sheetViews>
  <sheetFormatPr defaultRowHeight="14.4" x14ac:dyDescent="0.3"/>
  <cols>
    <col min="1" max="1" width="10.33203125" customWidth="1"/>
    <col min="2" max="2" width="23.5546875" customWidth="1"/>
    <col min="3" max="3" width="10.33203125" customWidth="1"/>
    <col min="4" max="5" width="24.21875" customWidth="1"/>
    <col min="6" max="6" width="10.33203125" customWidth="1"/>
    <col min="7" max="7" width="10.77734375" bestFit="1" customWidth="1"/>
    <col min="8" max="8" width="11.21875" customWidth="1"/>
  </cols>
  <sheetData>
    <row r="1" spans="1:8" x14ac:dyDescent="0.3">
      <c r="A1" s="77" t="s">
        <v>0</v>
      </c>
      <c r="B1" s="78" t="s">
        <v>1</v>
      </c>
      <c r="C1" s="79" t="s">
        <v>2</v>
      </c>
      <c r="D1" s="79" t="s">
        <v>3</v>
      </c>
      <c r="E1" s="79" t="s">
        <v>4</v>
      </c>
      <c r="F1" s="79" t="s">
        <v>5</v>
      </c>
      <c r="G1" s="80" t="s">
        <v>6</v>
      </c>
      <c r="H1" s="81" t="s">
        <v>7</v>
      </c>
    </row>
    <row r="2" spans="1:8" x14ac:dyDescent="0.3">
      <c r="A2" s="66">
        <v>1</v>
      </c>
      <c r="B2" s="67">
        <v>45688</v>
      </c>
      <c r="C2" s="31" t="s">
        <v>19</v>
      </c>
      <c r="D2" s="69" t="s">
        <v>77</v>
      </c>
      <c r="E2" s="69" t="s">
        <v>21</v>
      </c>
      <c r="F2" s="31" t="s">
        <v>11</v>
      </c>
      <c r="G2" s="68">
        <v>20</v>
      </c>
      <c r="H2" s="32" t="s">
        <v>12</v>
      </c>
    </row>
    <row r="3" spans="1:8" x14ac:dyDescent="0.3">
      <c r="A3" s="66">
        <v>1</v>
      </c>
      <c r="B3" s="67">
        <v>45688</v>
      </c>
      <c r="C3" s="31" t="s">
        <v>19</v>
      </c>
      <c r="D3" s="69" t="s">
        <v>78</v>
      </c>
      <c r="E3" s="69" t="s">
        <v>23</v>
      </c>
      <c r="F3" s="31" t="s">
        <v>11</v>
      </c>
      <c r="G3" s="68">
        <v>79.05</v>
      </c>
      <c r="H3" s="32" t="s">
        <v>12</v>
      </c>
    </row>
    <row r="4" spans="1:8" x14ac:dyDescent="0.3">
      <c r="A4" s="66">
        <v>1</v>
      </c>
      <c r="B4" s="67">
        <v>45688</v>
      </c>
      <c r="C4" s="31" t="s">
        <v>19</v>
      </c>
      <c r="D4" s="69" t="s">
        <v>79</v>
      </c>
      <c r="E4" s="69" t="s">
        <v>27</v>
      </c>
      <c r="F4" s="31" t="s">
        <v>11</v>
      </c>
      <c r="G4" s="68">
        <v>130.35</v>
      </c>
      <c r="H4" s="32" t="s">
        <v>12</v>
      </c>
    </row>
    <row r="5" spans="1:8" x14ac:dyDescent="0.3">
      <c r="A5" s="66">
        <v>1</v>
      </c>
      <c r="B5" s="67">
        <v>45688</v>
      </c>
      <c r="C5" s="31" t="s">
        <v>19</v>
      </c>
      <c r="D5" s="69" t="s">
        <v>80</v>
      </c>
      <c r="E5" s="69" t="s">
        <v>29</v>
      </c>
      <c r="F5" s="31" t="s">
        <v>11</v>
      </c>
      <c r="G5" s="68">
        <v>276.5</v>
      </c>
      <c r="H5" s="32" t="s">
        <v>12</v>
      </c>
    </row>
    <row r="6" spans="1:8" x14ac:dyDescent="0.3">
      <c r="A6" s="66">
        <v>1</v>
      </c>
      <c r="B6" s="67">
        <v>45688</v>
      </c>
      <c r="C6" s="31" t="s">
        <v>19</v>
      </c>
      <c r="D6" s="69" t="s">
        <v>81</v>
      </c>
      <c r="E6" s="69" t="s">
        <v>31</v>
      </c>
      <c r="F6" s="31" t="s">
        <v>11</v>
      </c>
      <c r="G6" s="68">
        <v>46.88</v>
      </c>
      <c r="H6" s="32" t="s">
        <v>12</v>
      </c>
    </row>
    <row r="7" spans="1:8" x14ac:dyDescent="0.3">
      <c r="A7" s="66">
        <v>1</v>
      </c>
      <c r="B7" s="67">
        <v>45688</v>
      </c>
      <c r="C7" s="31" t="s">
        <v>19</v>
      </c>
      <c r="D7" s="69" t="s">
        <v>82</v>
      </c>
      <c r="E7" s="69" t="s">
        <v>36</v>
      </c>
      <c r="F7" s="31" t="s">
        <v>11</v>
      </c>
      <c r="G7" s="68">
        <v>163.88</v>
      </c>
      <c r="H7" s="32" t="s">
        <v>12</v>
      </c>
    </row>
    <row r="8" spans="1:8" x14ac:dyDescent="0.3">
      <c r="A8" s="66">
        <v>1</v>
      </c>
      <c r="B8" s="67">
        <v>45688</v>
      </c>
      <c r="C8" s="31" t="s">
        <v>19</v>
      </c>
      <c r="D8" s="69" t="s">
        <v>83</v>
      </c>
      <c r="E8" s="69" t="s">
        <v>40</v>
      </c>
      <c r="F8" s="31" t="s">
        <v>11</v>
      </c>
      <c r="G8" s="68">
        <v>50</v>
      </c>
      <c r="H8" s="32" t="s">
        <v>12</v>
      </c>
    </row>
    <row r="9" spans="1:8" x14ac:dyDescent="0.3">
      <c r="A9" s="66">
        <v>1</v>
      </c>
      <c r="B9" s="67">
        <v>45688</v>
      </c>
      <c r="C9" s="31" t="s">
        <v>19</v>
      </c>
      <c r="D9" s="69" t="s">
        <v>84</v>
      </c>
      <c r="E9" s="69" t="s">
        <v>42</v>
      </c>
      <c r="F9" s="31" t="s">
        <v>11</v>
      </c>
      <c r="G9" s="68">
        <v>4.17</v>
      </c>
      <c r="H9" s="32" t="s">
        <v>12</v>
      </c>
    </row>
    <row r="10" spans="1:8" x14ac:dyDescent="0.3">
      <c r="A10" s="66">
        <v>1</v>
      </c>
      <c r="B10" s="67">
        <v>45688</v>
      </c>
      <c r="C10" s="31" t="s">
        <v>19</v>
      </c>
      <c r="D10" s="69" t="s">
        <v>86</v>
      </c>
      <c r="E10" s="69" t="s">
        <v>45</v>
      </c>
      <c r="F10" s="31" t="s">
        <v>11</v>
      </c>
      <c r="G10" s="68">
        <v>22.85</v>
      </c>
      <c r="H10" s="32" t="s">
        <v>12</v>
      </c>
    </row>
    <row r="11" spans="1:8" x14ac:dyDescent="0.3">
      <c r="A11" s="48">
        <v>1</v>
      </c>
      <c r="B11" s="50">
        <v>45688</v>
      </c>
      <c r="C11" s="48" t="s">
        <v>19</v>
      </c>
      <c r="D11" s="69" t="s">
        <v>87</v>
      </c>
      <c r="E11" s="69" t="s">
        <v>48</v>
      </c>
      <c r="F11" s="48" t="s">
        <v>11</v>
      </c>
      <c r="G11" s="85">
        <v>180</v>
      </c>
      <c r="H11" s="48" t="s">
        <v>12</v>
      </c>
    </row>
    <row r="12" spans="1:8" x14ac:dyDescent="0.3">
      <c r="A12" s="69">
        <v>1</v>
      </c>
      <c r="B12" s="70">
        <v>45716</v>
      </c>
      <c r="C12" s="69" t="s">
        <v>19</v>
      </c>
      <c r="D12" s="69" t="s">
        <v>77</v>
      </c>
      <c r="E12" s="69" t="s">
        <v>21</v>
      </c>
      <c r="F12" s="69" t="s">
        <v>11</v>
      </c>
      <c r="G12" s="71">
        <v>21</v>
      </c>
      <c r="H12" s="69" t="s">
        <v>12</v>
      </c>
    </row>
    <row r="13" spans="1:8" x14ac:dyDescent="0.3">
      <c r="A13" s="69">
        <v>1</v>
      </c>
      <c r="B13" s="70">
        <v>45716</v>
      </c>
      <c r="C13" s="69" t="s">
        <v>19</v>
      </c>
      <c r="D13" s="69" t="s">
        <v>78</v>
      </c>
      <c r="E13" s="69" t="s">
        <v>23</v>
      </c>
      <c r="F13" s="69" t="s">
        <v>11</v>
      </c>
      <c r="G13" s="71">
        <v>65</v>
      </c>
      <c r="H13" s="72" t="s">
        <v>12</v>
      </c>
    </row>
    <row r="14" spans="1:8" x14ac:dyDescent="0.3">
      <c r="A14" s="69">
        <v>1</v>
      </c>
      <c r="B14" s="70">
        <v>45716</v>
      </c>
      <c r="C14" s="69" t="s">
        <v>19</v>
      </c>
      <c r="D14" s="69" t="s">
        <v>79</v>
      </c>
      <c r="E14" s="69" t="s">
        <v>27</v>
      </c>
      <c r="F14" s="69" t="s">
        <v>11</v>
      </c>
      <c r="G14" s="71">
        <v>125.4</v>
      </c>
      <c r="H14" s="69" t="s">
        <v>12</v>
      </c>
    </row>
    <row r="15" spans="1:8" x14ac:dyDescent="0.3">
      <c r="A15" s="69">
        <v>1</v>
      </c>
      <c r="B15" s="70">
        <v>45716</v>
      </c>
      <c r="C15" s="69" t="s">
        <v>19</v>
      </c>
      <c r="D15" s="69" t="s">
        <v>80</v>
      </c>
      <c r="E15" s="69" t="s">
        <v>29</v>
      </c>
      <c r="F15" s="69" t="s">
        <v>11</v>
      </c>
      <c r="G15" s="71">
        <v>276.5</v>
      </c>
      <c r="H15" s="69" t="s">
        <v>12</v>
      </c>
    </row>
    <row r="16" spans="1:8" x14ac:dyDescent="0.3">
      <c r="A16" s="69">
        <v>1</v>
      </c>
      <c r="B16" s="70">
        <v>45716</v>
      </c>
      <c r="C16" s="69" t="s">
        <v>19</v>
      </c>
      <c r="D16" s="69" t="s">
        <v>81</v>
      </c>
      <c r="E16" s="69" t="s">
        <v>31</v>
      </c>
      <c r="F16" s="69" t="s">
        <v>11</v>
      </c>
      <c r="G16" s="71">
        <v>44.5</v>
      </c>
      <c r="H16" s="69" t="s">
        <v>12</v>
      </c>
    </row>
    <row r="17" spans="1:8" x14ac:dyDescent="0.3">
      <c r="A17" s="69">
        <v>1</v>
      </c>
      <c r="B17" s="70">
        <v>45716</v>
      </c>
      <c r="C17" s="69" t="s">
        <v>19</v>
      </c>
      <c r="D17" s="69" t="s">
        <v>82</v>
      </c>
      <c r="E17" s="69" t="s">
        <v>36</v>
      </c>
      <c r="F17" s="69" t="s">
        <v>11</v>
      </c>
      <c r="G17" s="71">
        <v>163.88</v>
      </c>
      <c r="H17" s="69" t="s">
        <v>12</v>
      </c>
    </row>
    <row r="18" spans="1:8" x14ac:dyDescent="0.3">
      <c r="A18" s="69">
        <v>1</v>
      </c>
      <c r="B18" s="70">
        <v>45716</v>
      </c>
      <c r="C18" s="69" t="s">
        <v>19</v>
      </c>
      <c r="D18" s="69" t="s">
        <v>83</v>
      </c>
      <c r="E18" s="69" t="s">
        <v>40</v>
      </c>
      <c r="F18" s="69" t="s">
        <v>11</v>
      </c>
      <c r="G18" s="71">
        <v>48</v>
      </c>
      <c r="H18" s="69" t="s">
        <v>12</v>
      </c>
    </row>
    <row r="19" spans="1:8" x14ac:dyDescent="0.3">
      <c r="A19" s="69">
        <v>1</v>
      </c>
      <c r="B19" s="70">
        <v>45716</v>
      </c>
      <c r="C19" s="69" t="s">
        <v>19</v>
      </c>
      <c r="D19" s="69" t="s">
        <v>84</v>
      </c>
      <c r="E19" s="69" t="s">
        <v>42</v>
      </c>
      <c r="F19" s="69" t="s">
        <v>11</v>
      </c>
      <c r="G19" s="71">
        <v>15</v>
      </c>
      <c r="H19" s="69" t="s">
        <v>12</v>
      </c>
    </row>
    <row r="20" spans="1:8" x14ac:dyDescent="0.3">
      <c r="A20" s="69">
        <v>1</v>
      </c>
      <c r="B20" s="70">
        <v>45716</v>
      </c>
      <c r="C20" s="69" t="s">
        <v>19</v>
      </c>
      <c r="D20" s="69" t="s">
        <v>86</v>
      </c>
      <c r="E20" s="69" t="s">
        <v>45</v>
      </c>
      <c r="F20" s="69" t="s">
        <v>11</v>
      </c>
      <c r="G20" s="71">
        <v>26.4</v>
      </c>
      <c r="H20" s="69" t="s">
        <v>12</v>
      </c>
    </row>
    <row r="21" spans="1:8" x14ac:dyDescent="0.3">
      <c r="A21" s="69">
        <v>1</v>
      </c>
      <c r="B21" s="70">
        <v>45716</v>
      </c>
      <c r="C21" s="69" t="s">
        <v>19</v>
      </c>
      <c r="D21" s="69" t="s">
        <v>87</v>
      </c>
      <c r="E21" s="69" t="s">
        <v>48</v>
      </c>
      <c r="F21" s="69" t="s">
        <v>11</v>
      </c>
      <c r="G21" s="71">
        <v>100</v>
      </c>
      <c r="H21" s="69" t="s">
        <v>12</v>
      </c>
    </row>
    <row r="22" spans="1:8" x14ac:dyDescent="0.3">
      <c r="A22" s="69">
        <v>1</v>
      </c>
      <c r="B22" s="70">
        <v>45747</v>
      </c>
      <c r="C22" s="69" t="s">
        <v>19</v>
      </c>
      <c r="D22" s="69" t="s">
        <v>77</v>
      </c>
      <c r="E22" s="69" t="s">
        <v>21</v>
      </c>
      <c r="F22" s="69" t="s">
        <v>11</v>
      </c>
      <c r="G22" s="71">
        <v>19.5</v>
      </c>
      <c r="H22" s="69" t="s">
        <v>12</v>
      </c>
    </row>
    <row r="23" spans="1:8" x14ac:dyDescent="0.3">
      <c r="A23" s="69">
        <v>1</v>
      </c>
      <c r="B23" s="70">
        <v>45747</v>
      </c>
      <c r="C23" s="69" t="s">
        <v>19</v>
      </c>
      <c r="D23" s="69" t="s">
        <v>78</v>
      </c>
      <c r="E23" s="69" t="s">
        <v>23</v>
      </c>
      <c r="F23" s="69" t="s">
        <v>11</v>
      </c>
      <c r="G23" s="71">
        <v>72</v>
      </c>
      <c r="H23" s="69" t="s">
        <v>12</v>
      </c>
    </row>
    <row r="24" spans="1:8" x14ac:dyDescent="0.3">
      <c r="A24" s="69">
        <v>1</v>
      </c>
      <c r="B24" s="70">
        <v>45747</v>
      </c>
      <c r="C24" s="69" t="s">
        <v>19</v>
      </c>
      <c r="D24" s="69" t="s">
        <v>79</v>
      </c>
      <c r="E24" s="69" t="s">
        <v>27</v>
      </c>
      <c r="F24" s="69" t="s">
        <v>11</v>
      </c>
      <c r="G24" s="71">
        <v>132.30000000000001</v>
      </c>
      <c r="H24" s="69" t="s">
        <v>12</v>
      </c>
    </row>
    <row r="25" spans="1:8" x14ac:dyDescent="0.3">
      <c r="A25" s="69">
        <v>1</v>
      </c>
      <c r="B25" s="70">
        <v>45747</v>
      </c>
      <c r="C25" s="69" t="s">
        <v>19</v>
      </c>
      <c r="D25" s="69" t="s">
        <v>80</v>
      </c>
      <c r="E25" s="69" t="s">
        <v>29</v>
      </c>
      <c r="F25" s="69" t="s">
        <v>11</v>
      </c>
      <c r="G25" s="71">
        <v>276.5</v>
      </c>
      <c r="H25" s="69" t="s">
        <v>12</v>
      </c>
    </row>
    <row r="26" spans="1:8" x14ac:dyDescent="0.3">
      <c r="A26" s="69">
        <v>1</v>
      </c>
      <c r="B26" s="70">
        <v>45747</v>
      </c>
      <c r="C26" s="69" t="s">
        <v>19</v>
      </c>
      <c r="D26" s="69" t="s">
        <v>81</v>
      </c>
      <c r="E26" s="69" t="s">
        <v>31</v>
      </c>
      <c r="F26" s="69" t="s">
        <v>11</v>
      </c>
      <c r="G26" s="71">
        <v>42</v>
      </c>
      <c r="H26" s="69" t="s">
        <v>12</v>
      </c>
    </row>
    <row r="27" spans="1:8" x14ac:dyDescent="0.3">
      <c r="A27" s="69">
        <v>1</v>
      </c>
      <c r="B27" s="70">
        <v>45747</v>
      </c>
      <c r="C27" s="69" t="s">
        <v>19</v>
      </c>
      <c r="D27" s="69" t="s">
        <v>82</v>
      </c>
      <c r="E27" s="69" t="s">
        <v>36</v>
      </c>
      <c r="F27" s="69" t="s">
        <v>11</v>
      </c>
      <c r="G27" s="71">
        <v>163.88</v>
      </c>
      <c r="H27" s="69" t="s">
        <v>12</v>
      </c>
    </row>
    <row r="28" spans="1:8" x14ac:dyDescent="0.3">
      <c r="A28" s="69">
        <v>1</v>
      </c>
      <c r="B28" s="70">
        <v>45747</v>
      </c>
      <c r="C28" s="69" t="s">
        <v>19</v>
      </c>
      <c r="D28" s="69" t="s">
        <v>83</v>
      </c>
      <c r="E28" s="69" t="s">
        <v>40</v>
      </c>
      <c r="F28" s="69" t="s">
        <v>11</v>
      </c>
      <c r="G28" s="71">
        <v>53</v>
      </c>
      <c r="H28" s="69" t="s">
        <v>12</v>
      </c>
    </row>
    <row r="29" spans="1:8" x14ac:dyDescent="0.3">
      <c r="A29" s="69">
        <v>1</v>
      </c>
      <c r="B29" s="70">
        <v>45747</v>
      </c>
      <c r="C29" s="69" t="s">
        <v>19</v>
      </c>
      <c r="D29" s="69" t="s">
        <v>84</v>
      </c>
      <c r="E29" s="69" t="s">
        <v>42</v>
      </c>
      <c r="F29" s="69" t="s">
        <v>11</v>
      </c>
      <c r="G29" s="71">
        <v>22</v>
      </c>
      <c r="H29" s="69" t="s">
        <v>12</v>
      </c>
    </row>
    <row r="30" spans="1:8" x14ac:dyDescent="0.3">
      <c r="A30" s="69">
        <v>1</v>
      </c>
      <c r="B30" s="70">
        <v>45747</v>
      </c>
      <c r="C30" s="69" t="s">
        <v>19</v>
      </c>
      <c r="D30" s="69" t="s">
        <v>86</v>
      </c>
      <c r="E30" s="69" t="s">
        <v>45</v>
      </c>
      <c r="F30" s="69" t="s">
        <v>11</v>
      </c>
      <c r="G30" s="71">
        <v>24.1</v>
      </c>
      <c r="H30" s="69" t="s">
        <v>12</v>
      </c>
    </row>
    <row r="31" spans="1:8" x14ac:dyDescent="0.3">
      <c r="A31" s="69">
        <v>1</v>
      </c>
      <c r="B31" s="70">
        <v>45747</v>
      </c>
      <c r="C31" s="69" t="s">
        <v>19</v>
      </c>
      <c r="D31" s="69" t="s">
        <v>87</v>
      </c>
      <c r="E31" s="69" t="s">
        <v>48</v>
      </c>
      <c r="F31" s="69" t="s">
        <v>11</v>
      </c>
      <c r="G31" s="71">
        <v>85</v>
      </c>
      <c r="H31" s="69" t="s">
        <v>12</v>
      </c>
    </row>
    <row r="32" spans="1:8" x14ac:dyDescent="0.3">
      <c r="A32" s="69">
        <v>1</v>
      </c>
      <c r="B32" s="70">
        <v>45777</v>
      </c>
      <c r="C32" s="69" t="s">
        <v>19</v>
      </c>
      <c r="D32" s="69" t="s">
        <v>77</v>
      </c>
      <c r="E32" s="69" t="s">
        <v>21</v>
      </c>
      <c r="F32" s="69" t="s">
        <v>11</v>
      </c>
      <c r="G32" s="71">
        <v>23</v>
      </c>
      <c r="H32" s="69" t="s">
        <v>12</v>
      </c>
    </row>
    <row r="33" spans="1:8" x14ac:dyDescent="0.3">
      <c r="A33" s="69">
        <v>1</v>
      </c>
      <c r="B33" s="70">
        <v>45777</v>
      </c>
      <c r="C33" s="69" t="s">
        <v>19</v>
      </c>
      <c r="D33" s="69" t="s">
        <v>78</v>
      </c>
      <c r="E33" s="69" t="s">
        <v>23</v>
      </c>
      <c r="F33" s="69" t="s">
        <v>11</v>
      </c>
      <c r="G33" s="71">
        <v>60</v>
      </c>
      <c r="H33" s="69" t="s">
        <v>12</v>
      </c>
    </row>
    <row r="34" spans="1:8" x14ac:dyDescent="0.3">
      <c r="A34" s="69">
        <v>1</v>
      </c>
      <c r="B34" s="70">
        <v>45777</v>
      </c>
      <c r="C34" s="69" t="s">
        <v>19</v>
      </c>
      <c r="D34" s="69" t="s">
        <v>79</v>
      </c>
      <c r="E34" s="69" t="s">
        <v>27</v>
      </c>
      <c r="F34" s="69" t="s">
        <v>11</v>
      </c>
      <c r="G34" s="71">
        <v>140.1</v>
      </c>
      <c r="H34" s="69" t="s">
        <v>12</v>
      </c>
    </row>
    <row r="35" spans="1:8" x14ac:dyDescent="0.3">
      <c r="A35" s="69">
        <v>1</v>
      </c>
      <c r="B35" s="70">
        <v>45777</v>
      </c>
      <c r="C35" s="69" t="s">
        <v>19</v>
      </c>
      <c r="D35" s="69" t="s">
        <v>80</v>
      </c>
      <c r="E35" s="69" t="s">
        <v>29</v>
      </c>
      <c r="F35" s="69" t="s">
        <v>11</v>
      </c>
      <c r="G35" s="71">
        <v>276.5</v>
      </c>
      <c r="H35" s="69" t="s">
        <v>12</v>
      </c>
    </row>
    <row r="36" spans="1:8" x14ac:dyDescent="0.3">
      <c r="A36" s="69">
        <v>1</v>
      </c>
      <c r="B36" s="70">
        <v>45777</v>
      </c>
      <c r="C36" s="69" t="s">
        <v>19</v>
      </c>
      <c r="D36" s="69" t="s">
        <v>81</v>
      </c>
      <c r="E36" s="69" t="s">
        <v>31</v>
      </c>
      <c r="F36" s="69" t="s">
        <v>11</v>
      </c>
      <c r="G36" s="71">
        <v>45.2</v>
      </c>
      <c r="H36" s="69" t="s">
        <v>12</v>
      </c>
    </row>
    <row r="37" spans="1:8" x14ac:dyDescent="0.3">
      <c r="A37" s="69">
        <v>1</v>
      </c>
      <c r="B37" s="70">
        <v>45777</v>
      </c>
      <c r="C37" s="69" t="s">
        <v>19</v>
      </c>
      <c r="D37" s="69" t="s">
        <v>82</v>
      </c>
      <c r="E37" s="69" t="s">
        <v>36</v>
      </c>
      <c r="F37" s="69" t="s">
        <v>11</v>
      </c>
      <c r="G37" s="71">
        <v>163.88</v>
      </c>
      <c r="H37" s="69" t="s">
        <v>12</v>
      </c>
    </row>
    <row r="38" spans="1:8" x14ac:dyDescent="0.3">
      <c r="A38" s="69">
        <v>1</v>
      </c>
      <c r="B38" s="70">
        <v>45777</v>
      </c>
      <c r="C38" s="69" t="s">
        <v>19</v>
      </c>
      <c r="D38" s="69" t="s">
        <v>83</v>
      </c>
      <c r="E38" s="69" t="s">
        <v>40</v>
      </c>
      <c r="F38" s="69" t="s">
        <v>11</v>
      </c>
      <c r="G38" s="71">
        <v>51</v>
      </c>
      <c r="H38" s="69" t="s">
        <v>12</v>
      </c>
    </row>
    <row r="39" spans="1:8" x14ac:dyDescent="0.3">
      <c r="A39" s="69">
        <v>1</v>
      </c>
      <c r="B39" s="70">
        <v>45777</v>
      </c>
      <c r="C39" s="69" t="s">
        <v>19</v>
      </c>
      <c r="D39" s="69" t="s">
        <v>84</v>
      </c>
      <c r="E39" s="69" t="s">
        <v>42</v>
      </c>
      <c r="F39" s="69" t="s">
        <v>11</v>
      </c>
      <c r="G39" s="71">
        <v>27</v>
      </c>
      <c r="H39" s="69" t="s">
        <v>12</v>
      </c>
    </row>
    <row r="40" spans="1:8" x14ac:dyDescent="0.3">
      <c r="A40" s="69">
        <v>1</v>
      </c>
      <c r="B40" s="70">
        <v>45777</v>
      </c>
      <c r="C40" s="69" t="s">
        <v>19</v>
      </c>
      <c r="D40" s="69" t="s">
        <v>86</v>
      </c>
      <c r="E40" s="69" t="s">
        <v>45</v>
      </c>
      <c r="F40" s="69" t="s">
        <v>11</v>
      </c>
      <c r="G40" s="71">
        <v>22.8</v>
      </c>
      <c r="H40" s="69" t="s">
        <v>12</v>
      </c>
    </row>
    <row r="41" spans="1:8" x14ac:dyDescent="0.3">
      <c r="A41" s="69">
        <v>1</v>
      </c>
      <c r="B41" s="70">
        <v>45777</v>
      </c>
      <c r="C41" s="69" t="s">
        <v>19</v>
      </c>
      <c r="D41" s="69" t="s">
        <v>87</v>
      </c>
      <c r="E41" s="69" t="s">
        <v>48</v>
      </c>
      <c r="F41" s="69" t="s">
        <v>11</v>
      </c>
      <c r="G41" s="71">
        <v>95</v>
      </c>
      <c r="H41" s="69" t="s">
        <v>12</v>
      </c>
    </row>
    <row r="42" spans="1:8" x14ac:dyDescent="0.3">
      <c r="A42" s="69">
        <v>1</v>
      </c>
      <c r="B42" s="70">
        <v>45808</v>
      </c>
      <c r="C42" s="69" t="s">
        <v>19</v>
      </c>
      <c r="D42" s="69" t="s">
        <v>77</v>
      </c>
      <c r="E42" s="69" t="s">
        <v>21</v>
      </c>
      <c r="F42" s="69" t="s">
        <v>11</v>
      </c>
      <c r="G42" s="71">
        <v>19.8</v>
      </c>
      <c r="H42" s="69" t="s">
        <v>12</v>
      </c>
    </row>
    <row r="43" spans="1:8" x14ac:dyDescent="0.3">
      <c r="A43" s="69">
        <v>1</v>
      </c>
      <c r="B43" s="70">
        <v>45808</v>
      </c>
      <c r="C43" s="69" t="s">
        <v>19</v>
      </c>
      <c r="D43" s="69" t="s">
        <v>78</v>
      </c>
      <c r="E43" s="69" t="s">
        <v>23</v>
      </c>
      <c r="F43" s="69" t="s">
        <v>11</v>
      </c>
      <c r="G43" s="71">
        <v>150</v>
      </c>
      <c r="H43" s="69" t="s">
        <v>12</v>
      </c>
    </row>
    <row r="44" spans="1:8" x14ac:dyDescent="0.3">
      <c r="A44" s="69">
        <v>1</v>
      </c>
      <c r="B44" s="70">
        <v>45808</v>
      </c>
      <c r="C44" s="69" t="s">
        <v>19</v>
      </c>
      <c r="D44" s="69" t="s">
        <v>79</v>
      </c>
      <c r="E44" s="69" t="s">
        <v>27</v>
      </c>
      <c r="F44" s="69" t="s">
        <v>11</v>
      </c>
      <c r="G44" s="71">
        <v>138.4</v>
      </c>
      <c r="H44" s="69" t="s">
        <v>12</v>
      </c>
    </row>
    <row r="45" spans="1:8" x14ac:dyDescent="0.3">
      <c r="A45" s="69">
        <v>1</v>
      </c>
      <c r="B45" s="70">
        <v>45808</v>
      </c>
      <c r="C45" s="69" t="s">
        <v>19</v>
      </c>
      <c r="D45" s="69" t="s">
        <v>80</v>
      </c>
      <c r="E45" s="69" t="s">
        <v>29</v>
      </c>
      <c r="F45" s="69" t="s">
        <v>11</v>
      </c>
      <c r="G45" s="71">
        <v>276.5</v>
      </c>
      <c r="H45" s="69" t="s">
        <v>12</v>
      </c>
    </row>
    <row r="46" spans="1:8" x14ac:dyDescent="0.3">
      <c r="A46" s="69">
        <v>1</v>
      </c>
      <c r="B46" s="70">
        <v>45808</v>
      </c>
      <c r="C46" s="69" t="s">
        <v>19</v>
      </c>
      <c r="D46" s="69" t="s">
        <v>81</v>
      </c>
      <c r="E46" s="69" t="s">
        <v>31</v>
      </c>
      <c r="F46" s="69" t="s">
        <v>11</v>
      </c>
      <c r="G46" s="71">
        <v>43.6</v>
      </c>
      <c r="H46" s="69" t="s">
        <v>12</v>
      </c>
    </row>
    <row r="47" spans="1:8" x14ac:dyDescent="0.3">
      <c r="A47" s="69">
        <v>1</v>
      </c>
      <c r="B47" s="70">
        <v>45808</v>
      </c>
      <c r="C47" s="69" t="s">
        <v>19</v>
      </c>
      <c r="D47" s="69" t="s">
        <v>82</v>
      </c>
      <c r="E47" s="69" t="s">
        <v>36</v>
      </c>
      <c r="F47" s="69" t="s">
        <v>11</v>
      </c>
      <c r="G47" s="71">
        <v>163.88</v>
      </c>
      <c r="H47" s="69" t="s">
        <v>12</v>
      </c>
    </row>
    <row r="48" spans="1:8" x14ac:dyDescent="0.3">
      <c r="A48" s="69">
        <v>1</v>
      </c>
      <c r="B48" s="70">
        <v>45808</v>
      </c>
      <c r="C48" s="69" t="s">
        <v>19</v>
      </c>
      <c r="D48" s="69" t="s">
        <v>83</v>
      </c>
      <c r="E48" s="69" t="s">
        <v>40</v>
      </c>
      <c r="F48" s="69" t="s">
        <v>11</v>
      </c>
      <c r="G48" s="71">
        <v>49</v>
      </c>
      <c r="H48" s="69" t="s">
        <v>12</v>
      </c>
    </row>
    <row r="49" spans="1:8" x14ac:dyDescent="0.3">
      <c r="A49" s="69">
        <v>1</v>
      </c>
      <c r="B49" s="70">
        <v>45808</v>
      </c>
      <c r="C49" s="69" t="s">
        <v>19</v>
      </c>
      <c r="D49" s="69" t="s">
        <v>84</v>
      </c>
      <c r="E49" s="69" t="s">
        <v>42</v>
      </c>
      <c r="F49" s="69" t="s">
        <v>11</v>
      </c>
      <c r="G49" s="71">
        <v>29</v>
      </c>
      <c r="H49" s="69" t="s">
        <v>12</v>
      </c>
    </row>
    <row r="50" spans="1:8" x14ac:dyDescent="0.3">
      <c r="A50" s="69">
        <v>1</v>
      </c>
      <c r="B50" s="70">
        <v>45808</v>
      </c>
      <c r="C50" s="69" t="s">
        <v>19</v>
      </c>
      <c r="D50" s="69" t="s">
        <v>86</v>
      </c>
      <c r="E50" s="69" t="s">
        <v>45</v>
      </c>
      <c r="F50" s="69" t="s">
        <v>11</v>
      </c>
      <c r="G50" s="71">
        <v>25.2</v>
      </c>
      <c r="H50" s="69" t="s">
        <v>12</v>
      </c>
    </row>
    <row r="51" spans="1:8" x14ac:dyDescent="0.3">
      <c r="A51" s="69">
        <v>1</v>
      </c>
      <c r="B51" s="70">
        <v>45808</v>
      </c>
      <c r="C51" s="69" t="s">
        <v>19</v>
      </c>
      <c r="D51" s="69" t="s">
        <v>87</v>
      </c>
      <c r="E51" s="69" t="s">
        <v>48</v>
      </c>
      <c r="F51" s="69" t="s">
        <v>11</v>
      </c>
      <c r="G51" s="71">
        <v>90</v>
      </c>
      <c r="H51" s="69" t="s">
        <v>12</v>
      </c>
    </row>
    <row r="52" spans="1:8" x14ac:dyDescent="0.3">
      <c r="A52" s="69">
        <v>1</v>
      </c>
      <c r="B52" s="70">
        <v>45838</v>
      </c>
      <c r="C52" s="69" t="s">
        <v>19</v>
      </c>
      <c r="D52" s="69" t="s">
        <v>77</v>
      </c>
      <c r="E52" s="69" t="s">
        <v>21</v>
      </c>
      <c r="F52" s="69" t="s">
        <v>11</v>
      </c>
      <c r="G52" s="71">
        <v>22.1</v>
      </c>
      <c r="H52" s="69" t="s">
        <v>12</v>
      </c>
    </row>
    <row r="53" spans="1:8" x14ac:dyDescent="0.3">
      <c r="A53" s="69">
        <v>1</v>
      </c>
      <c r="B53" s="70">
        <v>45838</v>
      </c>
      <c r="C53" s="69" t="s">
        <v>19</v>
      </c>
      <c r="D53" s="69" t="s">
        <v>78</v>
      </c>
      <c r="E53" s="69" t="s">
        <v>23</v>
      </c>
      <c r="F53" s="69" t="s">
        <v>11</v>
      </c>
      <c r="G53" s="71">
        <v>69</v>
      </c>
      <c r="H53" s="69" t="s">
        <v>12</v>
      </c>
    </row>
    <row r="54" spans="1:8" x14ac:dyDescent="0.3">
      <c r="A54" s="69">
        <v>1</v>
      </c>
      <c r="B54" s="70">
        <v>45838</v>
      </c>
      <c r="C54" s="69" t="s">
        <v>19</v>
      </c>
      <c r="D54" s="69" t="s">
        <v>79</v>
      </c>
      <c r="E54" s="69" t="s">
        <v>27</v>
      </c>
      <c r="F54" s="69" t="s">
        <v>11</v>
      </c>
      <c r="G54" s="71">
        <v>128.9</v>
      </c>
      <c r="H54" s="69" t="s">
        <v>12</v>
      </c>
    </row>
    <row r="55" spans="1:8" x14ac:dyDescent="0.3">
      <c r="A55" s="69">
        <v>1</v>
      </c>
      <c r="B55" s="70">
        <v>45838</v>
      </c>
      <c r="C55" s="69" t="s">
        <v>19</v>
      </c>
      <c r="D55" s="69" t="s">
        <v>80</v>
      </c>
      <c r="E55" s="69" t="s">
        <v>29</v>
      </c>
      <c r="F55" s="69" t="s">
        <v>11</v>
      </c>
      <c r="G55" s="71">
        <v>276.5</v>
      </c>
      <c r="H55" s="69" t="s">
        <v>12</v>
      </c>
    </row>
    <row r="56" spans="1:8" x14ac:dyDescent="0.3">
      <c r="A56" s="69">
        <v>1</v>
      </c>
      <c r="B56" s="70">
        <v>45838</v>
      </c>
      <c r="C56" s="69" t="s">
        <v>19</v>
      </c>
      <c r="D56" s="69" t="s">
        <v>81</v>
      </c>
      <c r="E56" s="69" t="s">
        <v>31</v>
      </c>
      <c r="F56" s="69" t="s">
        <v>11</v>
      </c>
      <c r="G56" s="71">
        <v>41.7</v>
      </c>
      <c r="H56" s="69" t="s">
        <v>12</v>
      </c>
    </row>
    <row r="57" spans="1:8" x14ac:dyDescent="0.3">
      <c r="A57" s="69">
        <v>1</v>
      </c>
      <c r="B57" s="70">
        <v>45838</v>
      </c>
      <c r="C57" s="69" t="s">
        <v>19</v>
      </c>
      <c r="D57" s="69" t="s">
        <v>82</v>
      </c>
      <c r="E57" s="69" t="s">
        <v>36</v>
      </c>
      <c r="F57" s="69" t="s">
        <v>11</v>
      </c>
      <c r="G57" s="71">
        <v>163.88</v>
      </c>
      <c r="H57" s="69" t="s">
        <v>12</v>
      </c>
    </row>
    <row r="58" spans="1:8" x14ac:dyDescent="0.3">
      <c r="A58" s="69">
        <v>1</v>
      </c>
      <c r="B58" s="70">
        <v>45838</v>
      </c>
      <c r="C58" s="69" t="s">
        <v>19</v>
      </c>
      <c r="D58" s="69" t="s">
        <v>83</v>
      </c>
      <c r="E58" s="69" t="s">
        <v>40</v>
      </c>
      <c r="F58" s="69" t="s">
        <v>11</v>
      </c>
      <c r="G58" s="71">
        <v>52</v>
      </c>
      <c r="H58" s="69" t="s">
        <v>12</v>
      </c>
    </row>
    <row r="59" spans="1:8" x14ac:dyDescent="0.3">
      <c r="A59" s="69">
        <v>1</v>
      </c>
      <c r="B59" s="70">
        <v>45838</v>
      </c>
      <c r="C59" s="69" t="s">
        <v>19</v>
      </c>
      <c r="D59" s="69" t="s">
        <v>84</v>
      </c>
      <c r="E59" s="69" t="s">
        <v>42</v>
      </c>
      <c r="F59" s="69" t="s">
        <v>11</v>
      </c>
      <c r="G59" s="71">
        <v>33</v>
      </c>
      <c r="H59" s="69" t="s">
        <v>12</v>
      </c>
    </row>
    <row r="60" spans="1:8" x14ac:dyDescent="0.3">
      <c r="A60" s="69">
        <v>1</v>
      </c>
      <c r="B60" s="70">
        <v>45838</v>
      </c>
      <c r="C60" s="69" t="s">
        <v>19</v>
      </c>
      <c r="D60" s="69" t="s">
        <v>86</v>
      </c>
      <c r="E60" s="69" t="s">
        <v>45</v>
      </c>
      <c r="F60" s="69" t="s">
        <v>11</v>
      </c>
      <c r="G60" s="71">
        <v>26</v>
      </c>
      <c r="H60" s="69" t="s">
        <v>12</v>
      </c>
    </row>
    <row r="61" spans="1:8" x14ac:dyDescent="0.3">
      <c r="A61" s="69">
        <v>1</v>
      </c>
      <c r="B61" s="70">
        <v>45838</v>
      </c>
      <c r="C61" s="69" t="s">
        <v>19</v>
      </c>
      <c r="D61" s="69" t="s">
        <v>87</v>
      </c>
      <c r="E61" s="69" t="s">
        <v>48</v>
      </c>
      <c r="F61" s="69" t="s">
        <v>11</v>
      </c>
      <c r="G61" s="71">
        <v>80</v>
      </c>
      <c r="H61" s="69" t="s">
        <v>12</v>
      </c>
    </row>
    <row r="62" spans="1:8" x14ac:dyDescent="0.3">
      <c r="A62" s="69">
        <v>1</v>
      </c>
      <c r="B62" s="70">
        <v>45869</v>
      </c>
      <c r="C62" s="69" t="s">
        <v>19</v>
      </c>
      <c r="D62" s="69" t="s">
        <v>77</v>
      </c>
      <c r="E62" s="69" t="s">
        <v>21</v>
      </c>
      <c r="F62" s="69" t="s">
        <v>11</v>
      </c>
      <c r="G62" s="71">
        <v>20.399999999999999</v>
      </c>
      <c r="H62" s="69" t="s">
        <v>12</v>
      </c>
    </row>
    <row r="63" spans="1:8" x14ac:dyDescent="0.3">
      <c r="A63" s="69">
        <v>1</v>
      </c>
      <c r="B63" s="70">
        <v>45869</v>
      </c>
      <c r="C63" s="69" t="s">
        <v>19</v>
      </c>
      <c r="D63" s="69" t="s">
        <v>78</v>
      </c>
      <c r="E63" s="69" t="s">
        <v>23</v>
      </c>
      <c r="F63" s="69" t="s">
        <v>11</v>
      </c>
      <c r="G63" s="71">
        <v>71.2</v>
      </c>
      <c r="H63" s="69" t="s">
        <v>12</v>
      </c>
    </row>
    <row r="64" spans="1:8" x14ac:dyDescent="0.3">
      <c r="A64" s="69">
        <v>1</v>
      </c>
      <c r="B64" s="70">
        <v>45869</v>
      </c>
      <c r="C64" s="69" t="s">
        <v>19</v>
      </c>
      <c r="D64" s="69" t="s">
        <v>79</v>
      </c>
      <c r="E64" s="69" t="s">
        <v>27</v>
      </c>
      <c r="F64" s="69" t="s">
        <v>11</v>
      </c>
      <c r="G64" s="71">
        <v>140</v>
      </c>
      <c r="H64" s="69" t="s">
        <v>12</v>
      </c>
    </row>
    <row r="65" spans="1:8" x14ac:dyDescent="0.3">
      <c r="A65" s="69">
        <v>1</v>
      </c>
      <c r="B65" s="70">
        <v>45869</v>
      </c>
      <c r="C65" s="69" t="s">
        <v>19</v>
      </c>
      <c r="D65" s="69" t="s">
        <v>80</v>
      </c>
      <c r="E65" s="69" t="s">
        <v>29</v>
      </c>
      <c r="F65" s="69" t="s">
        <v>11</v>
      </c>
      <c r="G65" s="71">
        <v>276.5</v>
      </c>
      <c r="H65" s="69" t="s">
        <v>12</v>
      </c>
    </row>
    <row r="66" spans="1:8" x14ac:dyDescent="0.3">
      <c r="A66" s="69">
        <v>1</v>
      </c>
      <c r="B66" s="70">
        <v>45869</v>
      </c>
      <c r="C66" s="69" t="s">
        <v>19</v>
      </c>
      <c r="D66" s="69" t="s">
        <v>81</v>
      </c>
      <c r="E66" s="69" t="s">
        <v>31</v>
      </c>
      <c r="F66" s="69" t="s">
        <v>11</v>
      </c>
      <c r="G66" s="71">
        <v>44</v>
      </c>
      <c r="H66" s="69" t="s">
        <v>12</v>
      </c>
    </row>
    <row r="67" spans="1:8" x14ac:dyDescent="0.3">
      <c r="A67" s="69">
        <v>1</v>
      </c>
      <c r="B67" s="70">
        <v>45869</v>
      </c>
      <c r="C67" s="69" t="s">
        <v>19</v>
      </c>
      <c r="D67" s="69" t="s">
        <v>82</v>
      </c>
      <c r="E67" s="69" t="s">
        <v>36</v>
      </c>
      <c r="F67" s="69" t="s">
        <v>11</v>
      </c>
      <c r="G67" s="71">
        <v>163.88</v>
      </c>
      <c r="H67" s="69" t="s">
        <v>12</v>
      </c>
    </row>
    <row r="68" spans="1:8" x14ac:dyDescent="0.3">
      <c r="A68" s="69">
        <v>1</v>
      </c>
      <c r="B68" s="70">
        <v>45869</v>
      </c>
      <c r="C68" s="69" t="s">
        <v>19</v>
      </c>
      <c r="D68" s="69" t="s">
        <v>83</v>
      </c>
      <c r="E68" s="69" t="s">
        <v>40</v>
      </c>
      <c r="F68" s="69" t="s">
        <v>11</v>
      </c>
      <c r="G68" s="71">
        <v>47</v>
      </c>
      <c r="H68" s="69" t="s">
        <v>12</v>
      </c>
    </row>
    <row r="69" spans="1:8" x14ac:dyDescent="0.3">
      <c r="A69" s="69">
        <v>1</v>
      </c>
      <c r="B69" s="70">
        <v>45869</v>
      </c>
      <c r="C69" s="69" t="s">
        <v>19</v>
      </c>
      <c r="D69" s="69" t="s">
        <v>84</v>
      </c>
      <c r="E69" s="69" t="s">
        <v>42</v>
      </c>
      <c r="F69" s="69" t="s">
        <v>11</v>
      </c>
      <c r="G69" s="71">
        <v>31</v>
      </c>
      <c r="H69" s="69" t="s">
        <v>12</v>
      </c>
    </row>
    <row r="70" spans="1:8" x14ac:dyDescent="0.3">
      <c r="A70" s="69">
        <v>1</v>
      </c>
      <c r="B70" s="70">
        <v>45869</v>
      </c>
      <c r="C70" s="69" t="s">
        <v>19</v>
      </c>
      <c r="D70" s="69" t="s">
        <v>86</v>
      </c>
      <c r="E70" s="69" t="s">
        <v>45</v>
      </c>
      <c r="F70" s="69" t="s">
        <v>11</v>
      </c>
      <c r="G70" s="71">
        <v>24</v>
      </c>
      <c r="H70" s="69" t="s">
        <v>12</v>
      </c>
    </row>
    <row r="71" spans="1:8" x14ac:dyDescent="0.3">
      <c r="A71" s="69">
        <v>1</v>
      </c>
      <c r="B71" s="70">
        <v>45869</v>
      </c>
      <c r="C71" s="69" t="s">
        <v>19</v>
      </c>
      <c r="D71" s="69" t="s">
        <v>87</v>
      </c>
      <c r="E71" s="69" t="s">
        <v>48</v>
      </c>
      <c r="F71" s="69" t="s">
        <v>11</v>
      </c>
      <c r="G71" s="71">
        <v>90</v>
      </c>
      <c r="H71" s="69" t="s">
        <v>12</v>
      </c>
    </row>
    <row r="72" spans="1:8" x14ac:dyDescent="0.3">
      <c r="A72" s="69">
        <v>1</v>
      </c>
      <c r="B72" s="70">
        <v>45900</v>
      </c>
      <c r="C72" s="69" t="s">
        <v>19</v>
      </c>
      <c r="D72" s="69" t="s">
        <v>77</v>
      </c>
      <c r="E72" s="69" t="s">
        <v>21</v>
      </c>
      <c r="F72" s="69" t="s">
        <v>11</v>
      </c>
      <c r="G72" s="71">
        <v>21</v>
      </c>
      <c r="H72" s="69" t="s">
        <v>12</v>
      </c>
    </row>
    <row r="73" spans="1:8" x14ac:dyDescent="0.3">
      <c r="A73" s="69">
        <v>1</v>
      </c>
      <c r="B73" s="70">
        <v>45900</v>
      </c>
      <c r="C73" s="69" t="s">
        <v>19</v>
      </c>
      <c r="D73" s="69" t="s">
        <v>78</v>
      </c>
      <c r="E73" s="69" t="s">
        <v>23</v>
      </c>
      <c r="F73" s="69" t="s">
        <v>11</v>
      </c>
      <c r="G73" s="71">
        <v>68</v>
      </c>
      <c r="H73" s="69" t="s">
        <v>12</v>
      </c>
    </row>
    <row r="74" spans="1:8" x14ac:dyDescent="0.3">
      <c r="A74" s="69">
        <v>1</v>
      </c>
      <c r="B74" s="70">
        <v>45900</v>
      </c>
      <c r="C74" s="69" t="s">
        <v>19</v>
      </c>
      <c r="D74" s="69" t="s">
        <v>79</v>
      </c>
      <c r="E74" s="69" t="s">
        <v>27</v>
      </c>
      <c r="F74" s="69" t="s">
        <v>11</v>
      </c>
      <c r="G74" s="71">
        <v>132.5</v>
      </c>
      <c r="H74" s="69" t="s">
        <v>12</v>
      </c>
    </row>
    <row r="75" spans="1:8" x14ac:dyDescent="0.3">
      <c r="A75" s="69">
        <v>1</v>
      </c>
      <c r="B75" s="70">
        <v>45900</v>
      </c>
      <c r="C75" s="69" t="s">
        <v>19</v>
      </c>
      <c r="D75" s="69" t="s">
        <v>80</v>
      </c>
      <c r="E75" s="69" t="s">
        <v>29</v>
      </c>
      <c r="F75" s="69" t="s">
        <v>11</v>
      </c>
      <c r="G75" s="71">
        <v>276.5</v>
      </c>
      <c r="H75" s="69" t="s">
        <v>12</v>
      </c>
    </row>
    <row r="76" spans="1:8" x14ac:dyDescent="0.3">
      <c r="A76" s="69">
        <v>1</v>
      </c>
      <c r="B76" s="70">
        <v>45900</v>
      </c>
      <c r="C76" s="69" t="s">
        <v>19</v>
      </c>
      <c r="D76" s="69" t="s">
        <v>81</v>
      </c>
      <c r="E76" s="69" t="s">
        <v>31</v>
      </c>
      <c r="F76" s="69" t="s">
        <v>11</v>
      </c>
      <c r="G76" s="71">
        <v>45</v>
      </c>
      <c r="H76" s="69" t="s">
        <v>12</v>
      </c>
    </row>
    <row r="77" spans="1:8" x14ac:dyDescent="0.3">
      <c r="A77" s="69">
        <v>1</v>
      </c>
      <c r="B77" s="70">
        <v>45900</v>
      </c>
      <c r="C77" s="69" t="s">
        <v>19</v>
      </c>
      <c r="D77" s="69" t="s">
        <v>82</v>
      </c>
      <c r="E77" s="69" t="s">
        <v>36</v>
      </c>
      <c r="F77" s="69" t="s">
        <v>11</v>
      </c>
      <c r="G77" s="71">
        <v>163.88</v>
      </c>
      <c r="H77" s="69" t="s">
        <v>12</v>
      </c>
    </row>
    <row r="78" spans="1:8" x14ac:dyDescent="0.3">
      <c r="A78" s="69">
        <v>1</v>
      </c>
      <c r="B78" s="70">
        <v>45900</v>
      </c>
      <c r="C78" s="69" t="s">
        <v>19</v>
      </c>
      <c r="D78" s="69" t="s">
        <v>83</v>
      </c>
      <c r="E78" s="69" t="s">
        <v>40</v>
      </c>
      <c r="F78" s="69" t="s">
        <v>11</v>
      </c>
      <c r="G78" s="71">
        <v>48.5</v>
      </c>
      <c r="H78" s="69" t="s">
        <v>12</v>
      </c>
    </row>
    <row r="79" spans="1:8" x14ac:dyDescent="0.3">
      <c r="A79" s="69">
        <v>1</v>
      </c>
      <c r="B79" s="70">
        <v>45900</v>
      </c>
      <c r="C79" s="69" t="s">
        <v>19</v>
      </c>
      <c r="D79" s="69" t="s">
        <v>84</v>
      </c>
      <c r="E79" s="69" t="s">
        <v>42</v>
      </c>
      <c r="F79" s="69" t="s">
        <v>11</v>
      </c>
      <c r="G79" s="71">
        <v>28</v>
      </c>
      <c r="H79" s="69" t="s">
        <v>12</v>
      </c>
    </row>
    <row r="80" spans="1:8" x14ac:dyDescent="0.3">
      <c r="A80" s="69">
        <v>1</v>
      </c>
      <c r="B80" s="70">
        <v>45900</v>
      </c>
      <c r="C80" s="69" t="s">
        <v>19</v>
      </c>
      <c r="D80" s="69" t="s">
        <v>86</v>
      </c>
      <c r="E80" s="69" t="s">
        <v>45</v>
      </c>
      <c r="F80" s="69" t="s">
        <v>11</v>
      </c>
      <c r="G80" s="71">
        <v>25.5</v>
      </c>
      <c r="H80" s="69" t="s">
        <v>12</v>
      </c>
    </row>
    <row r="81" spans="1:8" x14ac:dyDescent="0.3">
      <c r="A81" s="69">
        <v>1</v>
      </c>
      <c r="B81" s="70">
        <v>45900</v>
      </c>
      <c r="C81" s="69" t="s">
        <v>19</v>
      </c>
      <c r="D81" s="69" t="s">
        <v>87</v>
      </c>
      <c r="E81" s="69" t="s">
        <v>48</v>
      </c>
      <c r="F81" s="69" t="s">
        <v>11</v>
      </c>
      <c r="G81" s="71">
        <v>85</v>
      </c>
      <c r="H81" s="69" t="s">
        <v>12</v>
      </c>
    </row>
    <row r="82" spans="1:8" x14ac:dyDescent="0.3">
      <c r="A82" s="69">
        <v>1</v>
      </c>
      <c r="B82" s="70">
        <v>45930</v>
      </c>
      <c r="C82" s="69" t="s">
        <v>19</v>
      </c>
      <c r="D82" s="69" t="s">
        <v>77</v>
      </c>
      <c r="E82" s="69" t="s">
        <v>21</v>
      </c>
      <c r="F82" s="69" t="s">
        <v>11</v>
      </c>
      <c r="G82" s="71">
        <v>22.5</v>
      </c>
      <c r="H82" s="69" t="s">
        <v>12</v>
      </c>
    </row>
    <row r="83" spans="1:8" x14ac:dyDescent="0.3">
      <c r="A83" s="69">
        <v>1</v>
      </c>
      <c r="B83" s="70">
        <v>45930</v>
      </c>
      <c r="C83" s="69" t="s">
        <v>19</v>
      </c>
      <c r="D83" s="69" t="s">
        <v>78</v>
      </c>
      <c r="E83" s="69" t="s">
        <v>23</v>
      </c>
      <c r="F83" s="69" t="s">
        <v>11</v>
      </c>
      <c r="G83" s="71">
        <v>70</v>
      </c>
      <c r="H83" s="69" t="s">
        <v>12</v>
      </c>
    </row>
    <row r="84" spans="1:8" x14ac:dyDescent="0.3">
      <c r="A84" s="69">
        <v>1</v>
      </c>
      <c r="B84" s="70">
        <v>45930</v>
      </c>
      <c r="C84" s="69" t="s">
        <v>19</v>
      </c>
      <c r="D84" s="69" t="s">
        <v>79</v>
      </c>
      <c r="E84" s="69" t="s">
        <v>27</v>
      </c>
      <c r="F84" s="69" t="s">
        <v>11</v>
      </c>
      <c r="G84" s="71">
        <v>135</v>
      </c>
      <c r="H84" s="69" t="s">
        <v>12</v>
      </c>
    </row>
    <row r="85" spans="1:8" x14ac:dyDescent="0.3">
      <c r="A85" s="69">
        <v>1</v>
      </c>
      <c r="B85" s="70">
        <v>45930</v>
      </c>
      <c r="C85" s="69" t="s">
        <v>19</v>
      </c>
      <c r="D85" s="69" t="s">
        <v>80</v>
      </c>
      <c r="E85" s="69" t="s">
        <v>29</v>
      </c>
      <c r="F85" s="69" t="s">
        <v>11</v>
      </c>
      <c r="G85" s="71">
        <v>276.5</v>
      </c>
      <c r="H85" s="69" t="s">
        <v>12</v>
      </c>
    </row>
    <row r="86" spans="1:8" x14ac:dyDescent="0.3">
      <c r="A86" s="69">
        <v>1</v>
      </c>
      <c r="B86" s="70">
        <v>45930</v>
      </c>
      <c r="C86" s="69" t="s">
        <v>19</v>
      </c>
      <c r="D86" s="69" t="s">
        <v>81</v>
      </c>
      <c r="E86" s="69" t="s">
        <v>31</v>
      </c>
      <c r="F86" s="69" t="s">
        <v>11</v>
      </c>
      <c r="G86" s="71">
        <v>43.5</v>
      </c>
      <c r="H86" s="69" t="s">
        <v>12</v>
      </c>
    </row>
    <row r="87" spans="1:8" x14ac:dyDescent="0.3">
      <c r="A87" s="69">
        <v>1</v>
      </c>
      <c r="B87" s="70">
        <v>45930</v>
      </c>
      <c r="C87" s="69" t="s">
        <v>19</v>
      </c>
      <c r="D87" s="69" t="s">
        <v>82</v>
      </c>
      <c r="E87" s="69" t="s">
        <v>36</v>
      </c>
      <c r="F87" s="69" t="s">
        <v>11</v>
      </c>
      <c r="G87" s="71">
        <v>163.88</v>
      </c>
      <c r="H87" s="69" t="s">
        <v>12</v>
      </c>
    </row>
    <row r="88" spans="1:8" x14ac:dyDescent="0.3">
      <c r="A88" s="69">
        <v>1</v>
      </c>
      <c r="B88" s="70">
        <v>45930</v>
      </c>
      <c r="C88" s="69" t="s">
        <v>19</v>
      </c>
      <c r="D88" s="69" t="s">
        <v>83</v>
      </c>
      <c r="E88" s="69" t="s">
        <v>40</v>
      </c>
      <c r="F88" s="69" t="s">
        <v>11</v>
      </c>
      <c r="G88" s="71">
        <v>52</v>
      </c>
      <c r="H88" s="69" t="s">
        <v>12</v>
      </c>
    </row>
    <row r="89" spans="1:8" x14ac:dyDescent="0.3">
      <c r="A89" s="69">
        <v>1</v>
      </c>
      <c r="B89" s="70">
        <v>45930</v>
      </c>
      <c r="C89" s="69" t="s">
        <v>19</v>
      </c>
      <c r="D89" s="69" t="s">
        <v>84</v>
      </c>
      <c r="E89" s="69" t="s">
        <v>42</v>
      </c>
      <c r="F89" s="69" t="s">
        <v>11</v>
      </c>
      <c r="G89" s="71">
        <v>30</v>
      </c>
      <c r="H89" s="69" t="s">
        <v>12</v>
      </c>
    </row>
    <row r="90" spans="1:8" x14ac:dyDescent="0.3">
      <c r="A90" s="69">
        <v>1</v>
      </c>
      <c r="B90" s="70">
        <v>45930</v>
      </c>
      <c r="C90" s="69" t="s">
        <v>19</v>
      </c>
      <c r="D90" s="69" t="s">
        <v>86</v>
      </c>
      <c r="E90" s="69" t="s">
        <v>45</v>
      </c>
      <c r="F90" s="69" t="s">
        <v>11</v>
      </c>
      <c r="G90" s="71">
        <v>24.5</v>
      </c>
      <c r="H90" s="69" t="s">
        <v>12</v>
      </c>
    </row>
    <row r="91" spans="1:8" x14ac:dyDescent="0.3">
      <c r="A91" s="69">
        <v>1</v>
      </c>
      <c r="B91" s="70">
        <v>45930</v>
      </c>
      <c r="C91" s="69" t="s">
        <v>19</v>
      </c>
      <c r="D91" s="69" t="s">
        <v>87</v>
      </c>
      <c r="E91" s="69" t="s">
        <v>48</v>
      </c>
      <c r="F91" s="69" t="s">
        <v>11</v>
      </c>
      <c r="G91" s="71">
        <v>80</v>
      </c>
      <c r="H91" s="69" t="s">
        <v>12</v>
      </c>
    </row>
    <row r="92" spans="1:8" x14ac:dyDescent="0.3">
      <c r="A92" s="69">
        <v>1</v>
      </c>
      <c r="B92" s="70">
        <v>45961</v>
      </c>
      <c r="C92" s="69" t="s">
        <v>19</v>
      </c>
      <c r="D92" s="69" t="s">
        <v>77</v>
      </c>
      <c r="E92" s="69" t="s">
        <v>21</v>
      </c>
      <c r="F92" s="69" t="s">
        <v>11</v>
      </c>
      <c r="G92" s="71">
        <v>20</v>
      </c>
      <c r="H92" s="69" t="s">
        <v>12</v>
      </c>
    </row>
    <row r="93" spans="1:8" x14ac:dyDescent="0.3">
      <c r="A93" s="69">
        <v>1</v>
      </c>
      <c r="B93" s="70">
        <v>45961</v>
      </c>
      <c r="C93" s="69" t="s">
        <v>19</v>
      </c>
      <c r="D93" s="69" t="s">
        <v>78</v>
      </c>
      <c r="E93" s="69" t="s">
        <v>23</v>
      </c>
      <c r="F93" s="69" t="s">
        <v>11</v>
      </c>
      <c r="G93" s="71">
        <v>74</v>
      </c>
      <c r="H93" s="69" t="s">
        <v>12</v>
      </c>
    </row>
    <row r="94" spans="1:8" x14ac:dyDescent="0.3">
      <c r="A94" s="69">
        <v>1</v>
      </c>
      <c r="B94" s="70">
        <v>45961</v>
      </c>
      <c r="C94" s="69" t="s">
        <v>19</v>
      </c>
      <c r="D94" s="69" t="s">
        <v>79</v>
      </c>
      <c r="E94" s="69" t="s">
        <v>27</v>
      </c>
      <c r="F94" s="69" t="s">
        <v>11</v>
      </c>
      <c r="G94" s="71">
        <v>170</v>
      </c>
      <c r="H94" s="69" t="s">
        <v>12</v>
      </c>
    </row>
    <row r="95" spans="1:8" x14ac:dyDescent="0.3">
      <c r="A95" s="69">
        <v>1</v>
      </c>
      <c r="B95" s="70">
        <v>45961</v>
      </c>
      <c r="C95" s="69" t="s">
        <v>19</v>
      </c>
      <c r="D95" s="69" t="s">
        <v>80</v>
      </c>
      <c r="E95" s="69" t="s">
        <v>29</v>
      </c>
      <c r="F95" s="69" t="s">
        <v>11</v>
      </c>
      <c r="G95" s="71">
        <v>276.5</v>
      </c>
      <c r="H95" s="69" t="s">
        <v>12</v>
      </c>
    </row>
    <row r="96" spans="1:8" x14ac:dyDescent="0.3">
      <c r="A96" s="69">
        <v>1</v>
      </c>
      <c r="B96" s="70">
        <v>45961</v>
      </c>
      <c r="C96" s="69" t="s">
        <v>19</v>
      </c>
      <c r="D96" s="69" t="s">
        <v>81</v>
      </c>
      <c r="E96" s="69" t="s">
        <v>31</v>
      </c>
      <c r="F96" s="69" t="s">
        <v>11</v>
      </c>
      <c r="G96" s="71">
        <v>44</v>
      </c>
      <c r="H96" s="69" t="s">
        <v>12</v>
      </c>
    </row>
    <row r="97" spans="1:8" x14ac:dyDescent="0.3">
      <c r="A97" s="69">
        <v>1</v>
      </c>
      <c r="B97" s="70">
        <v>45961</v>
      </c>
      <c r="C97" s="69" t="s">
        <v>19</v>
      </c>
      <c r="D97" s="69" t="s">
        <v>82</v>
      </c>
      <c r="E97" s="69" t="s">
        <v>36</v>
      </c>
      <c r="F97" s="69" t="s">
        <v>11</v>
      </c>
      <c r="G97" s="71">
        <v>163.88</v>
      </c>
      <c r="H97" s="69" t="s">
        <v>12</v>
      </c>
    </row>
    <row r="98" spans="1:8" x14ac:dyDescent="0.3">
      <c r="A98" s="69">
        <v>1</v>
      </c>
      <c r="B98" s="70">
        <v>45961</v>
      </c>
      <c r="C98" s="69" t="s">
        <v>19</v>
      </c>
      <c r="D98" s="69" t="s">
        <v>83</v>
      </c>
      <c r="E98" s="69" t="s">
        <v>40</v>
      </c>
      <c r="F98" s="69" t="s">
        <v>11</v>
      </c>
      <c r="G98" s="71">
        <v>46</v>
      </c>
      <c r="H98" s="69" t="s">
        <v>12</v>
      </c>
    </row>
    <row r="99" spans="1:8" x14ac:dyDescent="0.3">
      <c r="A99" s="69">
        <v>1</v>
      </c>
      <c r="B99" s="70">
        <v>45961</v>
      </c>
      <c r="C99" s="69" t="s">
        <v>19</v>
      </c>
      <c r="D99" s="69" t="s">
        <v>84</v>
      </c>
      <c r="E99" s="69" t="s">
        <v>42</v>
      </c>
      <c r="F99" s="69" t="s">
        <v>11</v>
      </c>
      <c r="G99" s="71">
        <v>29</v>
      </c>
      <c r="H99" s="69" t="s">
        <v>12</v>
      </c>
    </row>
    <row r="100" spans="1:8" x14ac:dyDescent="0.3">
      <c r="A100" s="69">
        <v>1</v>
      </c>
      <c r="B100" s="70">
        <v>45961</v>
      </c>
      <c r="C100" s="69" t="s">
        <v>19</v>
      </c>
      <c r="D100" s="69" t="s">
        <v>86</v>
      </c>
      <c r="E100" s="69" t="s">
        <v>45</v>
      </c>
      <c r="F100" s="69" t="s">
        <v>11</v>
      </c>
      <c r="G100" s="71">
        <v>23</v>
      </c>
      <c r="H100" s="69" t="s">
        <v>12</v>
      </c>
    </row>
    <row r="101" spans="1:8" x14ac:dyDescent="0.3">
      <c r="A101" s="69">
        <v>1</v>
      </c>
      <c r="B101" s="70">
        <v>45961</v>
      </c>
      <c r="C101" s="69" t="s">
        <v>19</v>
      </c>
      <c r="D101" s="69" t="s">
        <v>87</v>
      </c>
      <c r="E101" s="69" t="s">
        <v>48</v>
      </c>
      <c r="F101" s="69" t="s">
        <v>11</v>
      </c>
      <c r="G101" s="71">
        <v>90</v>
      </c>
      <c r="H101" s="69" t="s">
        <v>12</v>
      </c>
    </row>
    <row r="102" spans="1:8" x14ac:dyDescent="0.3">
      <c r="A102" s="69">
        <v>1</v>
      </c>
      <c r="B102" s="70">
        <v>45991</v>
      </c>
      <c r="C102" s="69" t="s">
        <v>19</v>
      </c>
      <c r="D102" s="69" t="s">
        <v>77</v>
      </c>
      <c r="E102" s="69" t="s">
        <v>21</v>
      </c>
      <c r="F102" s="69" t="s">
        <v>11</v>
      </c>
      <c r="G102" s="71">
        <v>21.5</v>
      </c>
      <c r="H102" s="69" t="s">
        <v>12</v>
      </c>
    </row>
    <row r="103" spans="1:8" x14ac:dyDescent="0.3">
      <c r="A103" s="69">
        <v>1</v>
      </c>
      <c r="B103" s="70">
        <v>45991</v>
      </c>
      <c r="C103" s="69" t="s">
        <v>19</v>
      </c>
      <c r="D103" s="69" t="s">
        <v>78</v>
      </c>
      <c r="E103" s="69" t="s">
        <v>23</v>
      </c>
      <c r="F103" s="69" t="s">
        <v>11</v>
      </c>
      <c r="G103" s="71">
        <v>69.5</v>
      </c>
      <c r="H103" s="69" t="s">
        <v>12</v>
      </c>
    </row>
    <row r="104" spans="1:8" x14ac:dyDescent="0.3">
      <c r="A104" s="69">
        <v>1</v>
      </c>
      <c r="B104" s="70">
        <v>45991</v>
      </c>
      <c r="C104" s="69" t="s">
        <v>19</v>
      </c>
      <c r="D104" s="69" t="s">
        <v>79</v>
      </c>
      <c r="E104" s="69" t="s">
        <v>27</v>
      </c>
      <c r="F104" s="69" t="s">
        <v>11</v>
      </c>
      <c r="G104" s="71">
        <v>136</v>
      </c>
      <c r="H104" s="69" t="s">
        <v>12</v>
      </c>
    </row>
    <row r="105" spans="1:8" x14ac:dyDescent="0.3">
      <c r="A105" s="69">
        <v>1</v>
      </c>
      <c r="B105" s="70">
        <v>45991</v>
      </c>
      <c r="C105" s="69" t="s">
        <v>19</v>
      </c>
      <c r="D105" s="69" t="s">
        <v>80</v>
      </c>
      <c r="E105" s="69" t="s">
        <v>29</v>
      </c>
      <c r="F105" s="69" t="s">
        <v>11</v>
      </c>
      <c r="G105" s="71">
        <v>276.5</v>
      </c>
      <c r="H105" s="69" t="s">
        <v>12</v>
      </c>
    </row>
    <row r="106" spans="1:8" x14ac:dyDescent="0.3">
      <c r="A106" s="69">
        <v>1</v>
      </c>
      <c r="B106" s="70">
        <v>45991</v>
      </c>
      <c r="C106" s="69" t="s">
        <v>19</v>
      </c>
      <c r="D106" s="69" t="s">
        <v>81</v>
      </c>
      <c r="E106" s="69" t="s">
        <v>31</v>
      </c>
      <c r="F106" s="69" t="s">
        <v>11</v>
      </c>
      <c r="G106" s="71">
        <v>42.5</v>
      </c>
      <c r="H106" s="69" t="s">
        <v>12</v>
      </c>
    </row>
    <row r="107" spans="1:8" x14ac:dyDescent="0.3">
      <c r="A107" s="69">
        <v>1</v>
      </c>
      <c r="B107" s="70">
        <v>45991</v>
      </c>
      <c r="C107" s="69" t="s">
        <v>19</v>
      </c>
      <c r="D107" s="69" t="s">
        <v>82</v>
      </c>
      <c r="E107" s="69" t="s">
        <v>36</v>
      </c>
      <c r="F107" s="69" t="s">
        <v>11</v>
      </c>
      <c r="G107" s="71">
        <v>163.88</v>
      </c>
      <c r="H107" s="69" t="s">
        <v>12</v>
      </c>
    </row>
    <row r="108" spans="1:8" x14ac:dyDescent="0.3">
      <c r="A108" s="69">
        <v>1</v>
      </c>
      <c r="B108" s="70">
        <v>45991</v>
      </c>
      <c r="C108" s="69" t="s">
        <v>19</v>
      </c>
      <c r="D108" s="69" t="s">
        <v>83</v>
      </c>
      <c r="E108" s="69" t="s">
        <v>40</v>
      </c>
      <c r="F108" s="69" t="s">
        <v>11</v>
      </c>
      <c r="G108" s="71">
        <v>150</v>
      </c>
      <c r="H108" s="69" t="s">
        <v>12</v>
      </c>
    </row>
    <row r="109" spans="1:8" x14ac:dyDescent="0.3">
      <c r="A109" s="69">
        <v>1</v>
      </c>
      <c r="B109" s="70">
        <v>45991</v>
      </c>
      <c r="C109" s="69" t="s">
        <v>19</v>
      </c>
      <c r="D109" s="69" t="s">
        <v>84</v>
      </c>
      <c r="E109" s="69" t="s">
        <v>42</v>
      </c>
      <c r="F109" s="69" t="s">
        <v>11</v>
      </c>
      <c r="G109" s="71">
        <v>30</v>
      </c>
      <c r="H109" s="69" t="s">
        <v>12</v>
      </c>
    </row>
    <row r="110" spans="1:8" x14ac:dyDescent="0.3">
      <c r="A110" s="69">
        <v>1</v>
      </c>
      <c r="B110" s="70">
        <v>45991</v>
      </c>
      <c r="C110" s="69" t="s">
        <v>19</v>
      </c>
      <c r="D110" s="69" t="s">
        <v>86</v>
      </c>
      <c r="E110" s="69" t="s">
        <v>45</v>
      </c>
      <c r="F110" s="69" t="s">
        <v>11</v>
      </c>
      <c r="G110" s="71">
        <v>25</v>
      </c>
      <c r="H110" s="69" t="s">
        <v>12</v>
      </c>
    </row>
    <row r="111" spans="1:8" x14ac:dyDescent="0.3">
      <c r="A111" s="69">
        <v>1</v>
      </c>
      <c r="B111" s="70">
        <v>45991</v>
      </c>
      <c r="C111" s="69" t="s">
        <v>19</v>
      </c>
      <c r="D111" s="69" t="s">
        <v>87</v>
      </c>
      <c r="E111" s="69" t="s">
        <v>48</v>
      </c>
      <c r="F111" s="69" t="s">
        <v>11</v>
      </c>
      <c r="G111" s="71">
        <v>85</v>
      </c>
      <c r="H111" s="69" t="s">
        <v>12</v>
      </c>
    </row>
    <row r="112" spans="1:8" x14ac:dyDescent="0.3">
      <c r="A112" s="69">
        <v>1</v>
      </c>
      <c r="B112" s="70">
        <v>45688</v>
      </c>
      <c r="C112" s="69" t="s">
        <v>88</v>
      </c>
      <c r="D112" s="69" t="s">
        <v>77</v>
      </c>
      <c r="E112" s="69" t="s">
        <v>21</v>
      </c>
      <c r="F112" s="69" t="s">
        <v>11</v>
      </c>
      <c r="G112" s="73">
        <v>80</v>
      </c>
      <c r="H112" s="69" t="s">
        <v>53</v>
      </c>
    </row>
    <row r="113" spans="1:8" x14ac:dyDescent="0.3">
      <c r="A113" s="69">
        <v>1</v>
      </c>
      <c r="B113" s="70">
        <v>45688</v>
      </c>
      <c r="C113" s="69" t="s">
        <v>88</v>
      </c>
      <c r="D113" s="69" t="s">
        <v>78</v>
      </c>
      <c r="E113" s="69" t="s">
        <v>23</v>
      </c>
      <c r="F113" s="69" t="s">
        <v>11</v>
      </c>
      <c r="G113" s="73">
        <v>210</v>
      </c>
      <c r="H113" s="69" t="s">
        <v>53</v>
      </c>
    </row>
    <row r="114" spans="1:8" x14ac:dyDescent="0.3">
      <c r="A114" s="69">
        <v>1</v>
      </c>
      <c r="B114" s="70">
        <v>45688</v>
      </c>
      <c r="C114" s="69" t="s">
        <v>88</v>
      </c>
      <c r="D114" s="69" t="s">
        <v>79</v>
      </c>
      <c r="E114" s="69" t="s">
        <v>27</v>
      </c>
      <c r="F114" s="69" t="s">
        <v>11</v>
      </c>
      <c r="G114" s="73">
        <v>490</v>
      </c>
      <c r="H114" s="69" t="s">
        <v>53</v>
      </c>
    </row>
    <row r="115" spans="1:8" x14ac:dyDescent="0.3">
      <c r="A115" s="69">
        <v>1</v>
      </c>
      <c r="B115" s="70">
        <v>45688</v>
      </c>
      <c r="C115" s="69" t="s">
        <v>88</v>
      </c>
      <c r="D115" s="69" t="s">
        <v>80</v>
      </c>
      <c r="E115" s="69" t="s">
        <v>29</v>
      </c>
      <c r="F115" s="69" t="s">
        <v>11</v>
      </c>
      <c r="G115" s="73">
        <v>1200</v>
      </c>
      <c r="H115" s="69" t="s">
        <v>53</v>
      </c>
    </row>
    <row r="116" spans="1:8" x14ac:dyDescent="0.3">
      <c r="A116" s="69">
        <v>1</v>
      </c>
      <c r="B116" s="70">
        <v>45688</v>
      </c>
      <c r="C116" s="69" t="s">
        <v>88</v>
      </c>
      <c r="D116" s="69" t="s">
        <v>81</v>
      </c>
      <c r="E116" s="69" t="s">
        <v>31</v>
      </c>
      <c r="F116" s="69" t="s">
        <v>11</v>
      </c>
      <c r="G116" s="73">
        <v>145</v>
      </c>
      <c r="H116" s="69" t="s">
        <v>53</v>
      </c>
    </row>
    <row r="117" spans="1:8" x14ac:dyDescent="0.3">
      <c r="A117" s="69">
        <v>1</v>
      </c>
      <c r="B117" s="70">
        <v>45688</v>
      </c>
      <c r="C117" s="69" t="s">
        <v>88</v>
      </c>
      <c r="D117" s="69" t="s">
        <v>82</v>
      </c>
      <c r="E117" s="69" t="s">
        <v>36</v>
      </c>
      <c r="F117" s="69" t="s">
        <v>11</v>
      </c>
      <c r="G117" s="73">
        <v>400</v>
      </c>
      <c r="H117" s="69" t="s">
        <v>53</v>
      </c>
    </row>
    <row r="118" spans="1:8" x14ac:dyDescent="0.3">
      <c r="A118" s="69">
        <v>1</v>
      </c>
      <c r="B118" s="70">
        <v>45688</v>
      </c>
      <c r="C118" s="69" t="s">
        <v>88</v>
      </c>
      <c r="D118" s="69" t="s">
        <v>83</v>
      </c>
      <c r="E118" s="69" t="s">
        <v>40</v>
      </c>
      <c r="F118" s="69" t="s">
        <v>11</v>
      </c>
      <c r="G118" s="73">
        <v>130</v>
      </c>
      <c r="H118" s="69" t="s">
        <v>53</v>
      </c>
    </row>
    <row r="119" spans="1:8" x14ac:dyDescent="0.3">
      <c r="A119" s="69">
        <v>1</v>
      </c>
      <c r="B119" s="70">
        <v>45688</v>
      </c>
      <c r="C119" s="69" t="s">
        <v>88</v>
      </c>
      <c r="D119" s="69" t="s">
        <v>84</v>
      </c>
      <c r="E119" s="69" t="s">
        <v>42</v>
      </c>
      <c r="F119" s="69" t="s">
        <v>11</v>
      </c>
      <c r="G119" s="73">
        <v>90</v>
      </c>
      <c r="H119" s="69" t="s">
        <v>53</v>
      </c>
    </row>
    <row r="120" spans="1:8" x14ac:dyDescent="0.3">
      <c r="A120" s="69">
        <v>1</v>
      </c>
      <c r="B120" s="70">
        <v>45688</v>
      </c>
      <c r="C120" s="69" t="s">
        <v>88</v>
      </c>
      <c r="D120" s="69" t="s">
        <v>86</v>
      </c>
      <c r="E120" s="69" t="s">
        <v>45</v>
      </c>
      <c r="F120" s="69" t="s">
        <v>11</v>
      </c>
      <c r="G120" s="73">
        <v>110</v>
      </c>
      <c r="H120" s="69" t="s">
        <v>53</v>
      </c>
    </row>
    <row r="121" spans="1:8" x14ac:dyDescent="0.3">
      <c r="A121" s="69">
        <v>1</v>
      </c>
      <c r="B121" s="70">
        <v>45688</v>
      </c>
      <c r="C121" s="69" t="s">
        <v>88</v>
      </c>
      <c r="D121" s="69" t="s">
        <v>87</v>
      </c>
      <c r="E121" s="69" t="s">
        <v>48</v>
      </c>
      <c r="F121" s="69" t="s">
        <v>11</v>
      </c>
      <c r="G121" s="73">
        <v>200</v>
      </c>
      <c r="H121" s="69" t="s">
        <v>53</v>
      </c>
    </row>
    <row r="122" spans="1:8" x14ac:dyDescent="0.3">
      <c r="A122" s="69">
        <v>1</v>
      </c>
      <c r="B122" s="70">
        <v>45716</v>
      </c>
      <c r="C122" s="69" t="s">
        <v>88</v>
      </c>
      <c r="D122" s="69" t="s">
        <v>77</v>
      </c>
      <c r="E122" s="69" t="s">
        <v>21</v>
      </c>
      <c r="F122" s="69" t="s">
        <v>11</v>
      </c>
      <c r="G122" s="73">
        <v>78</v>
      </c>
      <c r="H122" s="69" t="s">
        <v>53</v>
      </c>
    </row>
    <row r="123" spans="1:8" x14ac:dyDescent="0.3">
      <c r="A123" s="69">
        <v>1</v>
      </c>
      <c r="B123" s="70">
        <v>45716</v>
      </c>
      <c r="C123" s="69" t="s">
        <v>88</v>
      </c>
      <c r="D123" s="69" t="s">
        <v>78</v>
      </c>
      <c r="E123" s="69" t="s">
        <v>23</v>
      </c>
      <c r="F123" s="69" t="s">
        <v>11</v>
      </c>
      <c r="G123" s="73">
        <v>180</v>
      </c>
      <c r="H123" s="69" t="s">
        <v>53</v>
      </c>
    </row>
    <row r="124" spans="1:8" x14ac:dyDescent="0.3">
      <c r="A124" s="69">
        <v>1</v>
      </c>
      <c r="B124" s="70">
        <v>45716</v>
      </c>
      <c r="C124" s="69" t="s">
        <v>88</v>
      </c>
      <c r="D124" s="69" t="s">
        <v>79</v>
      </c>
      <c r="E124" s="69" t="s">
        <v>27</v>
      </c>
      <c r="F124" s="69" t="s">
        <v>11</v>
      </c>
      <c r="G124" s="73">
        <v>520</v>
      </c>
      <c r="H124" s="69" t="s">
        <v>53</v>
      </c>
    </row>
    <row r="125" spans="1:8" x14ac:dyDescent="0.3">
      <c r="A125" s="69">
        <v>1</v>
      </c>
      <c r="B125" s="70">
        <v>45716</v>
      </c>
      <c r="C125" s="69" t="s">
        <v>88</v>
      </c>
      <c r="D125" s="69" t="s">
        <v>80</v>
      </c>
      <c r="E125" s="69" t="s">
        <v>29</v>
      </c>
      <c r="F125" s="69" t="s">
        <v>11</v>
      </c>
      <c r="G125" s="73">
        <v>1200</v>
      </c>
      <c r="H125" s="69" t="s">
        <v>53</v>
      </c>
    </row>
    <row r="126" spans="1:8" x14ac:dyDescent="0.3">
      <c r="A126" s="69">
        <v>1</v>
      </c>
      <c r="B126" s="70">
        <v>45716</v>
      </c>
      <c r="C126" s="69" t="s">
        <v>88</v>
      </c>
      <c r="D126" s="69" t="s">
        <v>81</v>
      </c>
      <c r="E126" s="69" t="s">
        <v>31</v>
      </c>
      <c r="F126" s="69" t="s">
        <v>11</v>
      </c>
      <c r="G126" s="73">
        <v>155</v>
      </c>
      <c r="H126" s="69" t="s">
        <v>53</v>
      </c>
    </row>
    <row r="127" spans="1:8" x14ac:dyDescent="0.3">
      <c r="A127" s="69">
        <v>1</v>
      </c>
      <c r="B127" s="70">
        <v>45716</v>
      </c>
      <c r="C127" s="69" t="s">
        <v>88</v>
      </c>
      <c r="D127" s="69" t="s">
        <v>82</v>
      </c>
      <c r="E127" s="69" t="s">
        <v>36</v>
      </c>
      <c r="F127" s="69" t="s">
        <v>11</v>
      </c>
      <c r="G127" s="73">
        <v>400</v>
      </c>
      <c r="H127" s="69" t="s">
        <v>53</v>
      </c>
    </row>
    <row r="128" spans="1:8" x14ac:dyDescent="0.3">
      <c r="A128" s="69">
        <v>1</v>
      </c>
      <c r="B128" s="70">
        <v>45716</v>
      </c>
      <c r="C128" s="69" t="s">
        <v>88</v>
      </c>
      <c r="D128" s="69" t="s">
        <v>83</v>
      </c>
      <c r="E128" s="69" t="s">
        <v>40</v>
      </c>
      <c r="F128" s="69" t="s">
        <v>11</v>
      </c>
      <c r="G128" s="73">
        <v>120</v>
      </c>
      <c r="H128" s="69" t="s">
        <v>53</v>
      </c>
    </row>
    <row r="129" spans="1:8" x14ac:dyDescent="0.3">
      <c r="A129" s="69">
        <v>1</v>
      </c>
      <c r="B129" s="70">
        <v>45716</v>
      </c>
      <c r="C129" s="69" t="s">
        <v>88</v>
      </c>
      <c r="D129" s="69" t="s">
        <v>84</v>
      </c>
      <c r="E129" s="69" t="s">
        <v>42</v>
      </c>
      <c r="F129" s="69" t="s">
        <v>11</v>
      </c>
      <c r="G129" s="73">
        <v>100</v>
      </c>
      <c r="H129" s="69" t="s">
        <v>53</v>
      </c>
    </row>
    <row r="130" spans="1:8" x14ac:dyDescent="0.3">
      <c r="A130" s="69">
        <v>1</v>
      </c>
      <c r="B130" s="70">
        <v>45716</v>
      </c>
      <c r="C130" s="69" t="s">
        <v>88</v>
      </c>
      <c r="D130" s="69" t="s">
        <v>86</v>
      </c>
      <c r="E130" s="69" t="s">
        <v>45</v>
      </c>
      <c r="F130" s="69" t="s">
        <v>11</v>
      </c>
      <c r="G130" s="73">
        <v>115</v>
      </c>
      <c r="H130" s="69" t="s">
        <v>53</v>
      </c>
    </row>
    <row r="131" spans="1:8" x14ac:dyDescent="0.3">
      <c r="A131" s="69">
        <v>1</v>
      </c>
      <c r="B131" s="70">
        <v>45716</v>
      </c>
      <c r="C131" s="69" t="s">
        <v>88</v>
      </c>
      <c r="D131" s="69" t="s">
        <v>87</v>
      </c>
      <c r="E131" s="69" t="s">
        <v>48</v>
      </c>
      <c r="F131" s="69" t="s">
        <v>11</v>
      </c>
      <c r="G131" s="73">
        <v>180</v>
      </c>
      <c r="H131" s="69" t="s">
        <v>53</v>
      </c>
    </row>
    <row r="132" spans="1:8" x14ac:dyDescent="0.3">
      <c r="A132" s="69">
        <v>1</v>
      </c>
      <c r="B132" s="70">
        <v>45747</v>
      </c>
      <c r="C132" s="69" t="s">
        <v>88</v>
      </c>
      <c r="D132" s="69" t="s">
        <v>77</v>
      </c>
      <c r="E132" s="69" t="s">
        <v>21</v>
      </c>
      <c r="F132" s="69" t="s">
        <v>11</v>
      </c>
      <c r="G132" s="73">
        <v>82</v>
      </c>
      <c r="H132" s="69" t="s">
        <v>53</v>
      </c>
    </row>
    <row r="133" spans="1:8" x14ac:dyDescent="0.3">
      <c r="A133" s="69">
        <v>1</v>
      </c>
      <c r="B133" s="70">
        <v>45747</v>
      </c>
      <c r="C133" s="69" t="s">
        <v>88</v>
      </c>
      <c r="D133" s="69" t="s">
        <v>78</v>
      </c>
      <c r="E133" s="69" t="s">
        <v>23</v>
      </c>
      <c r="F133" s="69" t="s">
        <v>11</v>
      </c>
      <c r="G133" s="73">
        <v>190</v>
      </c>
      <c r="H133" s="69" t="s">
        <v>53</v>
      </c>
    </row>
    <row r="134" spans="1:8" x14ac:dyDescent="0.3">
      <c r="A134" s="69">
        <v>1</v>
      </c>
      <c r="B134" s="70">
        <v>45747</v>
      </c>
      <c r="C134" s="69" t="s">
        <v>88</v>
      </c>
      <c r="D134" s="69" t="s">
        <v>79</v>
      </c>
      <c r="E134" s="69" t="s">
        <v>27</v>
      </c>
      <c r="F134" s="69" t="s">
        <v>11</v>
      </c>
      <c r="G134" s="73">
        <v>510</v>
      </c>
      <c r="H134" s="69" t="s">
        <v>53</v>
      </c>
    </row>
    <row r="135" spans="1:8" x14ac:dyDescent="0.3">
      <c r="A135" s="69">
        <v>1</v>
      </c>
      <c r="B135" s="70">
        <v>45747</v>
      </c>
      <c r="C135" s="69" t="s">
        <v>88</v>
      </c>
      <c r="D135" s="69" t="s">
        <v>80</v>
      </c>
      <c r="E135" s="69" t="s">
        <v>29</v>
      </c>
      <c r="F135" s="69" t="s">
        <v>11</v>
      </c>
      <c r="G135" s="73">
        <v>1200</v>
      </c>
      <c r="H135" s="69" t="s">
        <v>53</v>
      </c>
    </row>
    <row r="136" spans="1:8" x14ac:dyDescent="0.3">
      <c r="A136" s="69">
        <v>1</v>
      </c>
      <c r="B136" s="70">
        <v>45747</v>
      </c>
      <c r="C136" s="69" t="s">
        <v>88</v>
      </c>
      <c r="D136" s="69" t="s">
        <v>81</v>
      </c>
      <c r="E136" s="69" t="s">
        <v>31</v>
      </c>
      <c r="F136" s="69" t="s">
        <v>11</v>
      </c>
      <c r="G136" s="73">
        <v>150</v>
      </c>
      <c r="H136" s="69" t="s">
        <v>53</v>
      </c>
    </row>
    <row r="137" spans="1:8" x14ac:dyDescent="0.3">
      <c r="A137" s="69">
        <v>1</v>
      </c>
      <c r="B137" s="70">
        <v>45747</v>
      </c>
      <c r="C137" s="69" t="s">
        <v>88</v>
      </c>
      <c r="D137" s="69" t="s">
        <v>82</v>
      </c>
      <c r="E137" s="69" t="s">
        <v>36</v>
      </c>
      <c r="F137" s="69" t="s">
        <v>11</v>
      </c>
      <c r="G137" s="73">
        <v>400</v>
      </c>
      <c r="H137" s="69" t="s">
        <v>53</v>
      </c>
    </row>
    <row r="138" spans="1:8" x14ac:dyDescent="0.3">
      <c r="A138" s="69">
        <v>1</v>
      </c>
      <c r="B138" s="70">
        <v>45747</v>
      </c>
      <c r="C138" s="69" t="s">
        <v>88</v>
      </c>
      <c r="D138" s="69" t="s">
        <v>83</v>
      </c>
      <c r="E138" s="69" t="s">
        <v>40</v>
      </c>
      <c r="F138" s="69" t="s">
        <v>11</v>
      </c>
      <c r="G138" s="73">
        <v>140</v>
      </c>
      <c r="H138" s="69" t="s">
        <v>53</v>
      </c>
    </row>
    <row r="139" spans="1:8" x14ac:dyDescent="0.3">
      <c r="A139" s="69">
        <v>1</v>
      </c>
      <c r="B139" s="70">
        <v>45747</v>
      </c>
      <c r="C139" s="69" t="s">
        <v>88</v>
      </c>
      <c r="D139" s="69" t="s">
        <v>84</v>
      </c>
      <c r="E139" s="69" t="s">
        <v>42</v>
      </c>
      <c r="F139" s="69" t="s">
        <v>11</v>
      </c>
      <c r="G139" s="73">
        <v>85</v>
      </c>
      <c r="H139" s="69" t="s">
        <v>53</v>
      </c>
    </row>
    <row r="140" spans="1:8" x14ac:dyDescent="0.3">
      <c r="A140" s="69">
        <v>1</v>
      </c>
      <c r="B140" s="70">
        <v>45747</v>
      </c>
      <c r="C140" s="69" t="s">
        <v>88</v>
      </c>
      <c r="D140" s="69" t="s">
        <v>86</v>
      </c>
      <c r="E140" s="69" t="s">
        <v>45</v>
      </c>
      <c r="F140" s="69" t="s">
        <v>11</v>
      </c>
      <c r="G140" s="73">
        <v>120</v>
      </c>
      <c r="H140" s="69" t="s">
        <v>53</v>
      </c>
    </row>
    <row r="141" spans="1:8" x14ac:dyDescent="0.3">
      <c r="A141" s="69">
        <v>1</v>
      </c>
      <c r="B141" s="70">
        <v>45747</v>
      </c>
      <c r="C141" s="69" t="s">
        <v>88</v>
      </c>
      <c r="D141" s="69" t="s">
        <v>87</v>
      </c>
      <c r="E141" s="69" t="s">
        <v>48</v>
      </c>
      <c r="F141" s="69" t="s">
        <v>11</v>
      </c>
      <c r="G141" s="73">
        <v>190</v>
      </c>
      <c r="H141" s="69" t="s">
        <v>53</v>
      </c>
    </row>
    <row r="142" spans="1:8" x14ac:dyDescent="0.3">
      <c r="A142" s="69">
        <v>1</v>
      </c>
      <c r="B142" s="70">
        <v>45777</v>
      </c>
      <c r="C142" s="69" t="s">
        <v>88</v>
      </c>
      <c r="D142" s="69" t="s">
        <v>77</v>
      </c>
      <c r="E142" s="69" t="s">
        <v>21</v>
      </c>
      <c r="F142" s="69" t="s">
        <v>11</v>
      </c>
      <c r="G142" s="73">
        <v>76</v>
      </c>
      <c r="H142" s="69" t="s">
        <v>53</v>
      </c>
    </row>
    <row r="143" spans="1:8" x14ac:dyDescent="0.3">
      <c r="A143" s="69">
        <v>1</v>
      </c>
      <c r="B143" s="70">
        <v>45777</v>
      </c>
      <c r="C143" s="69" t="s">
        <v>88</v>
      </c>
      <c r="D143" s="69" t="s">
        <v>78</v>
      </c>
      <c r="E143" s="69" t="s">
        <v>23</v>
      </c>
      <c r="F143" s="69" t="s">
        <v>11</v>
      </c>
      <c r="G143" s="73">
        <v>205</v>
      </c>
      <c r="H143" s="69" t="s">
        <v>53</v>
      </c>
    </row>
    <row r="144" spans="1:8" x14ac:dyDescent="0.3">
      <c r="A144" s="69">
        <v>1</v>
      </c>
      <c r="B144" s="70">
        <v>45777</v>
      </c>
      <c r="C144" s="69" t="s">
        <v>88</v>
      </c>
      <c r="D144" s="69" t="s">
        <v>79</v>
      </c>
      <c r="E144" s="69" t="s">
        <v>27</v>
      </c>
      <c r="F144" s="69" t="s">
        <v>11</v>
      </c>
      <c r="G144" s="73">
        <v>495</v>
      </c>
      <c r="H144" s="69" t="s">
        <v>53</v>
      </c>
    </row>
    <row r="145" spans="1:8" x14ac:dyDescent="0.3">
      <c r="A145" s="69">
        <v>1</v>
      </c>
      <c r="B145" s="70">
        <v>45777</v>
      </c>
      <c r="C145" s="69" t="s">
        <v>88</v>
      </c>
      <c r="D145" s="69" t="s">
        <v>80</v>
      </c>
      <c r="E145" s="69" t="s">
        <v>29</v>
      </c>
      <c r="F145" s="69" t="s">
        <v>11</v>
      </c>
      <c r="G145" s="73">
        <v>1200</v>
      </c>
      <c r="H145" s="69" t="s">
        <v>53</v>
      </c>
    </row>
    <row r="146" spans="1:8" x14ac:dyDescent="0.3">
      <c r="A146" s="69">
        <v>1</v>
      </c>
      <c r="B146" s="70">
        <v>45777</v>
      </c>
      <c r="C146" s="69" t="s">
        <v>88</v>
      </c>
      <c r="D146" s="69" t="s">
        <v>81</v>
      </c>
      <c r="E146" s="69" t="s">
        <v>31</v>
      </c>
      <c r="F146" s="69" t="s">
        <v>11</v>
      </c>
      <c r="G146" s="73">
        <v>160</v>
      </c>
      <c r="H146" s="69" t="s">
        <v>53</v>
      </c>
    </row>
    <row r="147" spans="1:8" x14ac:dyDescent="0.3">
      <c r="A147" s="69">
        <v>1</v>
      </c>
      <c r="B147" s="70">
        <v>45777</v>
      </c>
      <c r="C147" s="69" t="s">
        <v>88</v>
      </c>
      <c r="D147" s="69" t="s">
        <v>82</v>
      </c>
      <c r="E147" s="69" t="s">
        <v>36</v>
      </c>
      <c r="F147" s="69" t="s">
        <v>11</v>
      </c>
      <c r="G147" s="73">
        <v>400</v>
      </c>
      <c r="H147" s="69" t="s">
        <v>53</v>
      </c>
    </row>
    <row r="148" spans="1:8" x14ac:dyDescent="0.3">
      <c r="A148" s="69">
        <v>1</v>
      </c>
      <c r="B148" s="70">
        <v>45777</v>
      </c>
      <c r="C148" s="69" t="s">
        <v>88</v>
      </c>
      <c r="D148" s="69" t="s">
        <v>83</v>
      </c>
      <c r="E148" s="69" t="s">
        <v>40</v>
      </c>
      <c r="F148" s="69" t="s">
        <v>11</v>
      </c>
      <c r="G148" s="73">
        <v>145</v>
      </c>
      <c r="H148" s="69" t="s">
        <v>53</v>
      </c>
    </row>
    <row r="149" spans="1:8" x14ac:dyDescent="0.3">
      <c r="A149" s="69">
        <v>1</v>
      </c>
      <c r="B149" s="70">
        <v>45777</v>
      </c>
      <c r="C149" s="69" t="s">
        <v>88</v>
      </c>
      <c r="D149" s="69" t="s">
        <v>84</v>
      </c>
      <c r="E149" s="69" t="s">
        <v>42</v>
      </c>
      <c r="F149" s="69" t="s">
        <v>11</v>
      </c>
      <c r="G149" s="73">
        <v>95</v>
      </c>
      <c r="H149" s="69" t="s">
        <v>53</v>
      </c>
    </row>
    <row r="150" spans="1:8" x14ac:dyDescent="0.3">
      <c r="A150" s="69">
        <v>1</v>
      </c>
      <c r="B150" s="70">
        <v>45777</v>
      </c>
      <c r="C150" s="69" t="s">
        <v>88</v>
      </c>
      <c r="D150" s="69" t="s">
        <v>86</v>
      </c>
      <c r="E150" s="69" t="s">
        <v>45</v>
      </c>
      <c r="F150" s="69" t="s">
        <v>11</v>
      </c>
      <c r="G150" s="73">
        <v>110</v>
      </c>
      <c r="H150" s="69" t="s">
        <v>53</v>
      </c>
    </row>
    <row r="151" spans="1:8" x14ac:dyDescent="0.3">
      <c r="A151" s="69">
        <v>1</v>
      </c>
      <c r="B151" s="70">
        <v>45777</v>
      </c>
      <c r="C151" s="69" t="s">
        <v>88</v>
      </c>
      <c r="D151" s="69" t="s">
        <v>87</v>
      </c>
      <c r="E151" s="69" t="s">
        <v>48</v>
      </c>
      <c r="F151" s="69" t="s">
        <v>11</v>
      </c>
      <c r="G151" s="73">
        <v>190</v>
      </c>
      <c r="H151" s="69" t="s">
        <v>53</v>
      </c>
    </row>
    <row r="152" spans="1:8" x14ac:dyDescent="0.3">
      <c r="A152" s="69">
        <v>1</v>
      </c>
      <c r="B152" s="70">
        <v>45808</v>
      </c>
      <c r="C152" s="69" t="s">
        <v>88</v>
      </c>
      <c r="D152" s="69" t="s">
        <v>77</v>
      </c>
      <c r="E152" s="69" t="s">
        <v>21</v>
      </c>
      <c r="F152" s="69" t="s">
        <v>11</v>
      </c>
      <c r="G152" s="73">
        <v>85</v>
      </c>
      <c r="H152" s="69" t="s">
        <v>53</v>
      </c>
    </row>
    <row r="153" spans="1:8" x14ac:dyDescent="0.3">
      <c r="A153" s="69">
        <v>1</v>
      </c>
      <c r="B153" s="70">
        <v>45808</v>
      </c>
      <c r="C153" s="69" t="s">
        <v>88</v>
      </c>
      <c r="D153" s="69" t="s">
        <v>78</v>
      </c>
      <c r="E153" s="69" t="s">
        <v>23</v>
      </c>
      <c r="F153" s="69" t="s">
        <v>11</v>
      </c>
      <c r="G153" s="73">
        <v>220</v>
      </c>
      <c r="H153" s="69" t="s">
        <v>53</v>
      </c>
    </row>
    <row r="154" spans="1:8" x14ac:dyDescent="0.3">
      <c r="A154" s="69">
        <v>1</v>
      </c>
      <c r="B154" s="70">
        <v>45808</v>
      </c>
      <c r="C154" s="69" t="s">
        <v>88</v>
      </c>
      <c r="D154" s="69" t="s">
        <v>79</v>
      </c>
      <c r="E154" s="69" t="s">
        <v>27</v>
      </c>
      <c r="F154" s="69" t="s">
        <v>11</v>
      </c>
      <c r="G154" s="73">
        <v>480</v>
      </c>
      <c r="H154" s="69" t="s">
        <v>53</v>
      </c>
    </row>
    <row r="155" spans="1:8" x14ac:dyDescent="0.3">
      <c r="A155" s="69">
        <v>1</v>
      </c>
      <c r="B155" s="70">
        <v>45808</v>
      </c>
      <c r="C155" s="69" t="s">
        <v>88</v>
      </c>
      <c r="D155" s="69" t="s">
        <v>80</v>
      </c>
      <c r="E155" s="69" t="s">
        <v>29</v>
      </c>
      <c r="F155" s="69" t="s">
        <v>11</v>
      </c>
      <c r="G155" s="73">
        <v>1200</v>
      </c>
      <c r="H155" s="69" t="s">
        <v>53</v>
      </c>
    </row>
    <row r="156" spans="1:8" x14ac:dyDescent="0.3">
      <c r="A156" s="69">
        <v>1</v>
      </c>
      <c r="B156" s="70">
        <v>45808</v>
      </c>
      <c r="C156" s="69" t="s">
        <v>88</v>
      </c>
      <c r="D156" s="69" t="s">
        <v>81</v>
      </c>
      <c r="E156" s="69" t="s">
        <v>31</v>
      </c>
      <c r="F156" s="69" t="s">
        <v>11</v>
      </c>
      <c r="G156" s="73">
        <v>140</v>
      </c>
      <c r="H156" s="69" t="s">
        <v>53</v>
      </c>
    </row>
    <row r="157" spans="1:8" x14ac:dyDescent="0.3">
      <c r="A157" s="69">
        <v>1</v>
      </c>
      <c r="B157" s="70">
        <v>45808</v>
      </c>
      <c r="C157" s="69" t="s">
        <v>88</v>
      </c>
      <c r="D157" s="69" t="s">
        <v>82</v>
      </c>
      <c r="E157" s="69" t="s">
        <v>36</v>
      </c>
      <c r="F157" s="69" t="s">
        <v>11</v>
      </c>
      <c r="G157" s="73">
        <v>400</v>
      </c>
      <c r="H157" s="69" t="s">
        <v>53</v>
      </c>
    </row>
    <row r="158" spans="1:8" x14ac:dyDescent="0.3">
      <c r="A158" s="69">
        <v>1</v>
      </c>
      <c r="B158" s="70">
        <v>45808</v>
      </c>
      <c r="C158" s="69" t="s">
        <v>88</v>
      </c>
      <c r="D158" s="69" t="s">
        <v>83</v>
      </c>
      <c r="E158" s="69" t="s">
        <v>40</v>
      </c>
      <c r="F158" s="69" t="s">
        <v>11</v>
      </c>
      <c r="G158" s="73">
        <v>150</v>
      </c>
      <c r="H158" s="69" t="s">
        <v>53</v>
      </c>
    </row>
    <row r="159" spans="1:8" x14ac:dyDescent="0.3">
      <c r="A159" s="69">
        <v>1</v>
      </c>
      <c r="B159" s="70">
        <v>45808</v>
      </c>
      <c r="C159" s="69" t="s">
        <v>88</v>
      </c>
      <c r="D159" s="69" t="s">
        <v>84</v>
      </c>
      <c r="E159" s="69" t="s">
        <v>42</v>
      </c>
      <c r="F159" s="69" t="s">
        <v>11</v>
      </c>
      <c r="G159" s="73">
        <v>90</v>
      </c>
      <c r="H159" s="69" t="s">
        <v>53</v>
      </c>
    </row>
    <row r="160" spans="1:8" x14ac:dyDescent="0.3">
      <c r="A160" s="69">
        <v>1</v>
      </c>
      <c r="B160" s="70">
        <v>45808</v>
      </c>
      <c r="C160" s="69" t="s">
        <v>88</v>
      </c>
      <c r="D160" s="69" t="s">
        <v>86</v>
      </c>
      <c r="E160" s="69" t="s">
        <v>45</v>
      </c>
      <c r="F160" s="69" t="s">
        <v>11</v>
      </c>
      <c r="G160" s="73">
        <v>115</v>
      </c>
      <c r="H160" s="69" t="s">
        <v>53</v>
      </c>
    </row>
    <row r="161" spans="1:8" x14ac:dyDescent="0.3">
      <c r="A161" s="69">
        <v>1</v>
      </c>
      <c r="B161" s="70">
        <v>45808</v>
      </c>
      <c r="C161" s="69" t="s">
        <v>88</v>
      </c>
      <c r="D161" s="69" t="s">
        <v>87</v>
      </c>
      <c r="E161" s="69" t="s">
        <v>48</v>
      </c>
      <c r="F161" s="69" t="s">
        <v>11</v>
      </c>
      <c r="G161" s="73">
        <v>200</v>
      </c>
      <c r="H161" s="69" t="s">
        <v>53</v>
      </c>
    </row>
    <row r="162" spans="1:8" x14ac:dyDescent="0.3">
      <c r="A162" s="69">
        <v>1</v>
      </c>
      <c r="B162" s="70">
        <v>45838</v>
      </c>
      <c r="C162" s="69" t="s">
        <v>88</v>
      </c>
      <c r="D162" s="69" t="s">
        <v>77</v>
      </c>
      <c r="E162" s="69" t="s">
        <v>21</v>
      </c>
      <c r="F162" s="69" t="s">
        <v>11</v>
      </c>
      <c r="G162" s="73">
        <v>82</v>
      </c>
      <c r="H162" s="69" t="s">
        <v>53</v>
      </c>
    </row>
    <row r="163" spans="1:8" x14ac:dyDescent="0.3">
      <c r="A163" s="69">
        <v>1</v>
      </c>
      <c r="B163" s="70">
        <v>45838</v>
      </c>
      <c r="C163" s="69" t="s">
        <v>88</v>
      </c>
      <c r="D163" s="69" t="s">
        <v>78</v>
      </c>
      <c r="E163" s="69" t="s">
        <v>23</v>
      </c>
      <c r="F163" s="69" t="s">
        <v>11</v>
      </c>
      <c r="G163" s="73">
        <v>210</v>
      </c>
      <c r="H163" s="69" t="s">
        <v>53</v>
      </c>
    </row>
    <row r="164" spans="1:8" x14ac:dyDescent="0.3">
      <c r="A164" s="69">
        <v>1</v>
      </c>
      <c r="B164" s="70">
        <v>45838</v>
      </c>
      <c r="C164" s="69" t="s">
        <v>88</v>
      </c>
      <c r="D164" s="69" t="s">
        <v>79</v>
      </c>
      <c r="E164" s="69" t="s">
        <v>27</v>
      </c>
      <c r="F164" s="69" t="s">
        <v>11</v>
      </c>
      <c r="G164" s="73">
        <v>505</v>
      </c>
      <c r="H164" s="69" t="s">
        <v>53</v>
      </c>
    </row>
    <row r="165" spans="1:8" x14ac:dyDescent="0.3">
      <c r="A165" s="69">
        <v>1</v>
      </c>
      <c r="B165" s="70">
        <v>45838</v>
      </c>
      <c r="C165" s="69" t="s">
        <v>88</v>
      </c>
      <c r="D165" s="69" t="s">
        <v>80</v>
      </c>
      <c r="E165" s="69" t="s">
        <v>29</v>
      </c>
      <c r="F165" s="69" t="s">
        <v>11</v>
      </c>
      <c r="G165" s="73">
        <v>1200</v>
      </c>
      <c r="H165" s="69" t="s">
        <v>53</v>
      </c>
    </row>
    <row r="166" spans="1:8" x14ac:dyDescent="0.3">
      <c r="A166" s="69">
        <v>1</v>
      </c>
      <c r="B166" s="70">
        <v>45838</v>
      </c>
      <c r="C166" s="69" t="s">
        <v>88</v>
      </c>
      <c r="D166" s="69" t="s">
        <v>81</v>
      </c>
      <c r="E166" s="69" t="s">
        <v>31</v>
      </c>
      <c r="F166" s="69" t="s">
        <v>11</v>
      </c>
      <c r="G166" s="73">
        <v>155</v>
      </c>
      <c r="H166" s="69" t="s">
        <v>53</v>
      </c>
    </row>
    <row r="167" spans="1:8" x14ac:dyDescent="0.3">
      <c r="A167" s="69">
        <v>1</v>
      </c>
      <c r="B167" s="70">
        <v>45838</v>
      </c>
      <c r="C167" s="69" t="s">
        <v>88</v>
      </c>
      <c r="D167" s="69" t="s">
        <v>82</v>
      </c>
      <c r="E167" s="69" t="s">
        <v>36</v>
      </c>
      <c r="F167" s="69" t="s">
        <v>11</v>
      </c>
      <c r="G167" s="73">
        <v>400</v>
      </c>
      <c r="H167" s="69" t="s">
        <v>53</v>
      </c>
    </row>
    <row r="168" spans="1:8" x14ac:dyDescent="0.3">
      <c r="A168" s="69">
        <v>1</v>
      </c>
      <c r="B168" s="70">
        <v>45838</v>
      </c>
      <c r="C168" s="69" t="s">
        <v>88</v>
      </c>
      <c r="D168" s="69" t="s">
        <v>83</v>
      </c>
      <c r="E168" s="69" t="s">
        <v>40</v>
      </c>
      <c r="F168" s="69" t="s">
        <v>11</v>
      </c>
      <c r="G168" s="73">
        <v>125</v>
      </c>
      <c r="H168" s="69" t="s">
        <v>53</v>
      </c>
    </row>
    <row r="169" spans="1:8" x14ac:dyDescent="0.3">
      <c r="A169" s="69">
        <v>1</v>
      </c>
      <c r="B169" s="70">
        <v>45838</v>
      </c>
      <c r="C169" s="69" t="s">
        <v>88</v>
      </c>
      <c r="D169" s="69" t="s">
        <v>84</v>
      </c>
      <c r="E169" s="69" t="s">
        <v>42</v>
      </c>
      <c r="F169" s="69" t="s">
        <v>11</v>
      </c>
      <c r="G169" s="73">
        <v>100</v>
      </c>
      <c r="H169" s="69" t="s">
        <v>53</v>
      </c>
    </row>
    <row r="170" spans="1:8" x14ac:dyDescent="0.3">
      <c r="A170" s="69">
        <v>1</v>
      </c>
      <c r="B170" s="70">
        <v>45838</v>
      </c>
      <c r="C170" s="69" t="s">
        <v>88</v>
      </c>
      <c r="D170" s="69" t="s">
        <v>86</v>
      </c>
      <c r="E170" s="69" t="s">
        <v>45</v>
      </c>
      <c r="F170" s="69" t="s">
        <v>11</v>
      </c>
      <c r="G170" s="73">
        <v>120</v>
      </c>
      <c r="H170" s="69" t="s">
        <v>53</v>
      </c>
    </row>
    <row r="171" spans="1:8" x14ac:dyDescent="0.3">
      <c r="A171" s="69">
        <v>1</v>
      </c>
      <c r="B171" s="70">
        <v>45838</v>
      </c>
      <c r="C171" s="69" t="s">
        <v>88</v>
      </c>
      <c r="D171" s="69" t="s">
        <v>87</v>
      </c>
      <c r="E171" s="69" t="s">
        <v>48</v>
      </c>
      <c r="F171" s="69" t="s">
        <v>11</v>
      </c>
      <c r="G171" s="73">
        <v>180</v>
      </c>
      <c r="H171" s="69" t="s">
        <v>53</v>
      </c>
    </row>
    <row r="172" spans="1:8" x14ac:dyDescent="0.3">
      <c r="A172" s="69">
        <v>1</v>
      </c>
      <c r="B172" s="70">
        <v>45869</v>
      </c>
      <c r="C172" s="69" t="s">
        <v>88</v>
      </c>
      <c r="D172" s="69" t="s">
        <v>77</v>
      </c>
      <c r="E172" s="69" t="s">
        <v>21</v>
      </c>
      <c r="F172" s="69" t="s">
        <v>11</v>
      </c>
      <c r="G172" s="73">
        <v>83</v>
      </c>
      <c r="H172" s="69" t="s">
        <v>53</v>
      </c>
    </row>
    <row r="173" spans="1:8" x14ac:dyDescent="0.3">
      <c r="A173" s="69">
        <v>1</v>
      </c>
      <c r="B173" s="70">
        <v>45869</v>
      </c>
      <c r="C173" s="69" t="s">
        <v>88</v>
      </c>
      <c r="D173" s="69" t="s">
        <v>78</v>
      </c>
      <c r="E173" s="69" t="s">
        <v>23</v>
      </c>
      <c r="F173" s="69" t="s">
        <v>11</v>
      </c>
      <c r="G173" s="73">
        <v>190</v>
      </c>
      <c r="H173" s="69" t="s">
        <v>53</v>
      </c>
    </row>
    <row r="174" spans="1:8" x14ac:dyDescent="0.3">
      <c r="A174" s="69">
        <v>1</v>
      </c>
      <c r="B174" s="70">
        <v>45869</v>
      </c>
      <c r="C174" s="69" t="s">
        <v>88</v>
      </c>
      <c r="D174" s="69" t="s">
        <v>79</v>
      </c>
      <c r="E174" s="69" t="s">
        <v>27</v>
      </c>
      <c r="F174" s="69" t="s">
        <v>11</v>
      </c>
      <c r="G174" s="73">
        <v>515</v>
      </c>
      <c r="H174" s="69" t="s">
        <v>53</v>
      </c>
    </row>
    <row r="175" spans="1:8" x14ac:dyDescent="0.3">
      <c r="A175" s="69">
        <v>1</v>
      </c>
      <c r="B175" s="70">
        <v>45869</v>
      </c>
      <c r="C175" s="69" t="s">
        <v>88</v>
      </c>
      <c r="D175" s="69" t="s">
        <v>80</v>
      </c>
      <c r="E175" s="69" t="s">
        <v>29</v>
      </c>
      <c r="F175" s="69" t="s">
        <v>11</v>
      </c>
      <c r="G175" s="73">
        <v>1200</v>
      </c>
      <c r="H175" s="69" t="s">
        <v>53</v>
      </c>
    </row>
    <row r="176" spans="1:8" x14ac:dyDescent="0.3">
      <c r="A176" s="69">
        <v>1</v>
      </c>
      <c r="B176" s="70">
        <v>45869</v>
      </c>
      <c r="C176" s="69" t="s">
        <v>88</v>
      </c>
      <c r="D176" s="69" t="s">
        <v>81</v>
      </c>
      <c r="E176" s="69" t="s">
        <v>31</v>
      </c>
      <c r="F176" s="69" t="s">
        <v>11</v>
      </c>
      <c r="G176" s="73">
        <v>160</v>
      </c>
      <c r="H176" s="69" t="s">
        <v>53</v>
      </c>
    </row>
    <row r="177" spans="1:8" x14ac:dyDescent="0.3">
      <c r="A177" s="69">
        <v>1</v>
      </c>
      <c r="B177" s="70">
        <v>45869</v>
      </c>
      <c r="C177" s="69" t="s">
        <v>88</v>
      </c>
      <c r="D177" s="69" t="s">
        <v>82</v>
      </c>
      <c r="E177" s="69" t="s">
        <v>36</v>
      </c>
      <c r="F177" s="69" t="s">
        <v>11</v>
      </c>
      <c r="G177" s="73">
        <v>400</v>
      </c>
      <c r="H177" s="69" t="s">
        <v>53</v>
      </c>
    </row>
    <row r="178" spans="1:8" x14ac:dyDescent="0.3">
      <c r="A178" s="69">
        <v>1</v>
      </c>
      <c r="B178" s="70">
        <v>45869</v>
      </c>
      <c r="C178" s="69" t="s">
        <v>88</v>
      </c>
      <c r="D178" s="69" t="s">
        <v>83</v>
      </c>
      <c r="E178" s="69" t="s">
        <v>40</v>
      </c>
      <c r="F178" s="69" t="s">
        <v>11</v>
      </c>
      <c r="G178" s="73">
        <v>130</v>
      </c>
      <c r="H178" s="69" t="s">
        <v>53</v>
      </c>
    </row>
    <row r="179" spans="1:8" x14ac:dyDescent="0.3">
      <c r="A179" s="69">
        <v>1</v>
      </c>
      <c r="B179" s="70">
        <v>45869</v>
      </c>
      <c r="C179" s="69" t="s">
        <v>88</v>
      </c>
      <c r="D179" s="69" t="s">
        <v>84</v>
      </c>
      <c r="E179" s="69" t="s">
        <v>42</v>
      </c>
      <c r="F179" s="69" t="s">
        <v>11</v>
      </c>
      <c r="G179" s="73">
        <v>85</v>
      </c>
      <c r="H179" s="69" t="s">
        <v>53</v>
      </c>
    </row>
    <row r="180" spans="1:8" x14ac:dyDescent="0.3">
      <c r="A180" s="69">
        <v>1</v>
      </c>
      <c r="B180" s="70">
        <v>45869</v>
      </c>
      <c r="C180" s="69" t="s">
        <v>88</v>
      </c>
      <c r="D180" s="69" t="s">
        <v>86</v>
      </c>
      <c r="E180" s="69" t="s">
        <v>45</v>
      </c>
      <c r="F180" s="69" t="s">
        <v>11</v>
      </c>
      <c r="G180" s="73">
        <v>125</v>
      </c>
      <c r="H180" s="69" t="s">
        <v>53</v>
      </c>
    </row>
    <row r="181" spans="1:8" x14ac:dyDescent="0.3">
      <c r="A181" s="69">
        <v>1</v>
      </c>
      <c r="B181" s="70">
        <v>45869</v>
      </c>
      <c r="C181" s="69" t="s">
        <v>88</v>
      </c>
      <c r="D181" s="69" t="s">
        <v>87</v>
      </c>
      <c r="E181" s="69" t="s">
        <v>48</v>
      </c>
      <c r="F181" s="69" t="s">
        <v>11</v>
      </c>
      <c r="G181" s="73">
        <v>190</v>
      </c>
      <c r="H181" s="69" t="s">
        <v>53</v>
      </c>
    </row>
    <row r="182" spans="1:8" x14ac:dyDescent="0.3">
      <c r="A182" s="69">
        <v>1</v>
      </c>
      <c r="B182" s="70">
        <v>45900</v>
      </c>
      <c r="C182" s="69" t="s">
        <v>88</v>
      </c>
      <c r="D182" s="69" t="s">
        <v>77</v>
      </c>
      <c r="E182" s="69" t="s">
        <v>21</v>
      </c>
      <c r="F182" s="69" t="s">
        <v>11</v>
      </c>
      <c r="G182" s="73">
        <v>79</v>
      </c>
      <c r="H182" s="69" t="s">
        <v>53</v>
      </c>
    </row>
    <row r="183" spans="1:8" x14ac:dyDescent="0.3">
      <c r="A183" s="69">
        <v>1</v>
      </c>
      <c r="B183" s="70">
        <v>45900</v>
      </c>
      <c r="C183" s="69" t="s">
        <v>88</v>
      </c>
      <c r="D183" s="69" t="s">
        <v>78</v>
      </c>
      <c r="E183" s="69" t="s">
        <v>23</v>
      </c>
      <c r="F183" s="69" t="s">
        <v>11</v>
      </c>
      <c r="G183" s="73">
        <v>200</v>
      </c>
      <c r="H183" s="69" t="s">
        <v>53</v>
      </c>
    </row>
    <row r="184" spans="1:8" x14ac:dyDescent="0.3">
      <c r="A184" s="69">
        <v>1</v>
      </c>
      <c r="B184" s="70">
        <v>45900</v>
      </c>
      <c r="C184" s="69" t="s">
        <v>88</v>
      </c>
      <c r="D184" s="69" t="s">
        <v>79</v>
      </c>
      <c r="E184" s="69" t="s">
        <v>27</v>
      </c>
      <c r="F184" s="69" t="s">
        <v>11</v>
      </c>
      <c r="G184" s="73">
        <v>495</v>
      </c>
      <c r="H184" s="69" t="s">
        <v>53</v>
      </c>
    </row>
    <row r="185" spans="1:8" x14ac:dyDescent="0.3">
      <c r="A185" s="69">
        <v>1</v>
      </c>
      <c r="B185" s="70">
        <v>45900</v>
      </c>
      <c r="C185" s="69" t="s">
        <v>88</v>
      </c>
      <c r="D185" s="69" t="s">
        <v>80</v>
      </c>
      <c r="E185" s="69" t="s">
        <v>29</v>
      </c>
      <c r="F185" s="69" t="s">
        <v>11</v>
      </c>
      <c r="G185" s="73">
        <v>1200</v>
      </c>
      <c r="H185" s="69" t="s">
        <v>53</v>
      </c>
    </row>
    <row r="186" spans="1:8" x14ac:dyDescent="0.3">
      <c r="A186" s="69">
        <v>1</v>
      </c>
      <c r="B186" s="70">
        <v>45900</v>
      </c>
      <c r="C186" s="69" t="s">
        <v>88</v>
      </c>
      <c r="D186" s="69" t="s">
        <v>81</v>
      </c>
      <c r="E186" s="69" t="s">
        <v>31</v>
      </c>
      <c r="F186" s="69" t="s">
        <v>11</v>
      </c>
      <c r="G186" s="73">
        <v>150</v>
      </c>
      <c r="H186" s="69" t="s">
        <v>53</v>
      </c>
    </row>
    <row r="187" spans="1:8" x14ac:dyDescent="0.3">
      <c r="A187" s="69">
        <v>1</v>
      </c>
      <c r="B187" s="70">
        <v>45900</v>
      </c>
      <c r="C187" s="69" t="s">
        <v>88</v>
      </c>
      <c r="D187" s="69" t="s">
        <v>82</v>
      </c>
      <c r="E187" s="69" t="s">
        <v>36</v>
      </c>
      <c r="F187" s="69" t="s">
        <v>11</v>
      </c>
      <c r="G187" s="73">
        <v>400</v>
      </c>
      <c r="H187" s="69" t="s">
        <v>53</v>
      </c>
    </row>
    <row r="188" spans="1:8" x14ac:dyDescent="0.3">
      <c r="A188" s="69">
        <v>1</v>
      </c>
      <c r="B188" s="70">
        <v>45900</v>
      </c>
      <c r="C188" s="69" t="s">
        <v>88</v>
      </c>
      <c r="D188" s="69" t="s">
        <v>83</v>
      </c>
      <c r="E188" s="69" t="s">
        <v>40</v>
      </c>
      <c r="F188" s="69" t="s">
        <v>11</v>
      </c>
      <c r="G188" s="73">
        <v>140</v>
      </c>
      <c r="H188" s="69" t="s">
        <v>53</v>
      </c>
    </row>
    <row r="189" spans="1:8" x14ac:dyDescent="0.3">
      <c r="A189" s="69">
        <v>1</v>
      </c>
      <c r="B189" s="70">
        <v>45900</v>
      </c>
      <c r="C189" s="69" t="s">
        <v>88</v>
      </c>
      <c r="D189" s="69" t="s">
        <v>84</v>
      </c>
      <c r="E189" s="69" t="s">
        <v>42</v>
      </c>
      <c r="F189" s="69" t="s">
        <v>11</v>
      </c>
      <c r="G189" s="73">
        <v>95</v>
      </c>
      <c r="H189" s="69" t="s">
        <v>53</v>
      </c>
    </row>
    <row r="190" spans="1:8" x14ac:dyDescent="0.3">
      <c r="A190" s="69">
        <v>1</v>
      </c>
      <c r="B190" s="70">
        <v>45900</v>
      </c>
      <c r="C190" s="69" t="s">
        <v>88</v>
      </c>
      <c r="D190" s="69" t="s">
        <v>86</v>
      </c>
      <c r="E190" s="69" t="s">
        <v>45</v>
      </c>
      <c r="F190" s="69" t="s">
        <v>11</v>
      </c>
      <c r="G190" s="73">
        <v>110</v>
      </c>
      <c r="H190" s="69" t="s">
        <v>53</v>
      </c>
    </row>
    <row r="191" spans="1:8" x14ac:dyDescent="0.3">
      <c r="A191" s="69">
        <v>1</v>
      </c>
      <c r="B191" s="70">
        <v>45900</v>
      </c>
      <c r="C191" s="69" t="s">
        <v>88</v>
      </c>
      <c r="D191" s="69" t="s">
        <v>87</v>
      </c>
      <c r="E191" s="69" t="s">
        <v>48</v>
      </c>
      <c r="F191" s="69" t="s">
        <v>11</v>
      </c>
      <c r="G191" s="73">
        <v>180</v>
      </c>
      <c r="H191" s="69" t="s">
        <v>53</v>
      </c>
    </row>
    <row r="192" spans="1:8" x14ac:dyDescent="0.3">
      <c r="A192" s="69">
        <v>1</v>
      </c>
      <c r="B192" s="70">
        <v>45930</v>
      </c>
      <c r="C192" s="69" t="s">
        <v>88</v>
      </c>
      <c r="D192" s="69" t="s">
        <v>77</v>
      </c>
      <c r="E192" s="69" t="s">
        <v>21</v>
      </c>
      <c r="F192" s="69" t="s">
        <v>11</v>
      </c>
      <c r="G192" s="73">
        <v>82</v>
      </c>
      <c r="H192" s="69" t="s">
        <v>53</v>
      </c>
    </row>
    <row r="193" spans="1:8" x14ac:dyDescent="0.3">
      <c r="A193" s="69">
        <v>1</v>
      </c>
      <c r="B193" s="70">
        <v>45930</v>
      </c>
      <c r="C193" s="69" t="s">
        <v>88</v>
      </c>
      <c r="D193" s="69" t="s">
        <v>78</v>
      </c>
      <c r="E193" s="69" t="s">
        <v>23</v>
      </c>
      <c r="F193" s="69" t="s">
        <v>11</v>
      </c>
      <c r="G193" s="73">
        <v>210</v>
      </c>
      <c r="H193" s="69" t="s">
        <v>53</v>
      </c>
    </row>
    <row r="194" spans="1:8" x14ac:dyDescent="0.3">
      <c r="A194" s="69">
        <v>1</v>
      </c>
      <c r="B194" s="70">
        <v>45930</v>
      </c>
      <c r="C194" s="69" t="s">
        <v>88</v>
      </c>
      <c r="D194" s="69" t="s">
        <v>79</v>
      </c>
      <c r="E194" s="69" t="s">
        <v>27</v>
      </c>
      <c r="F194" s="69" t="s">
        <v>11</v>
      </c>
      <c r="G194" s="73">
        <v>505</v>
      </c>
      <c r="H194" s="69" t="s">
        <v>53</v>
      </c>
    </row>
    <row r="195" spans="1:8" x14ac:dyDescent="0.3">
      <c r="A195" s="69">
        <v>1</v>
      </c>
      <c r="B195" s="70">
        <v>45930</v>
      </c>
      <c r="C195" s="69" t="s">
        <v>88</v>
      </c>
      <c r="D195" s="69" t="s">
        <v>80</v>
      </c>
      <c r="E195" s="69" t="s">
        <v>29</v>
      </c>
      <c r="F195" s="69" t="s">
        <v>11</v>
      </c>
      <c r="G195" s="73">
        <v>1200</v>
      </c>
      <c r="H195" s="69" t="s">
        <v>53</v>
      </c>
    </row>
    <row r="196" spans="1:8" x14ac:dyDescent="0.3">
      <c r="A196" s="69">
        <v>1</v>
      </c>
      <c r="B196" s="70">
        <v>45930</v>
      </c>
      <c r="C196" s="69" t="s">
        <v>88</v>
      </c>
      <c r="D196" s="69" t="s">
        <v>81</v>
      </c>
      <c r="E196" s="69" t="s">
        <v>31</v>
      </c>
      <c r="F196" s="69" t="s">
        <v>11</v>
      </c>
      <c r="G196" s="73">
        <v>145</v>
      </c>
      <c r="H196" s="69" t="s">
        <v>53</v>
      </c>
    </row>
    <row r="197" spans="1:8" x14ac:dyDescent="0.3">
      <c r="A197" s="69">
        <v>1</v>
      </c>
      <c r="B197" s="70">
        <v>45930</v>
      </c>
      <c r="C197" s="69" t="s">
        <v>88</v>
      </c>
      <c r="D197" s="69" t="s">
        <v>82</v>
      </c>
      <c r="E197" s="69" t="s">
        <v>36</v>
      </c>
      <c r="F197" s="69" t="s">
        <v>11</v>
      </c>
      <c r="G197" s="73">
        <v>400</v>
      </c>
      <c r="H197" s="69" t="s">
        <v>53</v>
      </c>
    </row>
    <row r="198" spans="1:8" x14ac:dyDescent="0.3">
      <c r="A198" s="69">
        <v>1</v>
      </c>
      <c r="B198" s="70">
        <v>45930</v>
      </c>
      <c r="C198" s="69" t="s">
        <v>88</v>
      </c>
      <c r="D198" s="69" t="s">
        <v>83</v>
      </c>
      <c r="E198" s="69" t="s">
        <v>40</v>
      </c>
      <c r="F198" s="69" t="s">
        <v>11</v>
      </c>
      <c r="G198" s="73">
        <v>125</v>
      </c>
      <c r="H198" s="69" t="s">
        <v>53</v>
      </c>
    </row>
    <row r="199" spans="1:8" x14ac:dyDescent="0.3">
      <c r="A199" s="69">
        <v>1</v>
      </c>
      <c r="B199" s="70">
        <v>45930</v>
      </c>
      <c r="C199" s="69" t="s">
        <v>88</v>
      </c>
      <c r="D199" s="69" t="s">
        <v>84</v>
      </c>
      <c r="E199" s="69" t="s">
        <v>42</v>
      </c>
      <c r="F199" s="69" t="s">
        <v>11</v>
      </c>
      <c r="G199" s="73">
        <v>100</v>
      </c>
      <c r="H199" s="69" t="s">
        <v>53</v>
      </c>
    </row>
    <row r="200" spans="1:8" x14ac:dyDescent="0.3">
      <c r="A200" s="69">
        <v>1</v>
      </c>
      <c r="B200" s="70">
        <v>45930</v>
      </c>
      <c r="C200" s="69" t="s">
        <v>88</v>
      </c>
      <c r="D200" s="69" t="s">
        <v>86</v>
      </c>
      <c r="E200" s="69" t="s">
        <v>45</v>
      </c>
      <c r="F200" s="69" t="s">
        <v>11</v>
      </c>
      <c r="G200" s="73">
        <v>120</v>
      </c>
      <c r="H200" s="69" t="s">
        <v>53</v>
      </c>
    </row>
    <row r="201" spans="1:8" x14ac:dyDescent="0.3">
      <c r="A201" s="69">
        <v>1</v>
      </c>
      <c r="B201" s="70">
        <v>45930</v>
      </c>
      <c r="C201" s="69" t="s">
        <v>88</v>
      </c>
      <c r="D201" s="69" t="s">
        <v>87</v>
      </c>
      <c r="E201" s="69" t="s">
        <v>48</v>
      </c>
      <c r="F201" s="69" t="s">
        <v>11</v>
      </c>
      <c r="G201" s="73">
        <v>190</v>
      </c>
      <c r="H201" s="69" t="s">
        <v>53</v>
      </c>
    </row>
    <row r="202" spans="1:8" x14ac:dyDescent="0.3">
      <c r="A202" s="69">
        <v>1</v>
      </c>
      <c r="B202" s="70">
        <v>45961</v>
      </c>
      <c r="C202" s="69" t="s">
        <v>88</v>
      </c>
      <c r="D202" s="69" t="s">
        <v>77</v>
      </c>
      <c r="E202" s="69" t="s">
        <v>21</v>
      </c>
      <c r="F202" s="69" t="s">
        <v>11</v>
      </c>
      <c r="G202" s="73">
        <v>85</v>
      </c>
      <c r="H202" s="69" t="s">
        <v>53</v>
      </c>
    </row>
    <row r="203" spans="1:8" x14ac:dyDescent="0.3">
      <c r="A203" s="69">
        <v>1</v>
      </c>
      <c r="B203" s="70">
        <v>45961</v>
      </c>
      <c r="C203" s="69" t="s">
        <v>88</v>
      </c>
      <c r="D203" s="69" t="s">
        <v>78</v>
      </c>
      <c r="E203" s="69" t="s">
        <v>23</v>
      </c>
      <c r="F203" s="69" t="s">
        <v>11</v>
      </c>
      <c r="G203" s="73">
        <v>195</v>
      </c>
      <c r="H203" s="69" t="s">
        <v>53</v>
      </c>
    </row>
    <row r="204" spans="1:8" x14ac:dyDescent="0.3">
      <c r="A204" s="69">
        <v>1</v>
      </c>
      <c r="B204" s="70">
        <v>45961</v>
      </c>
      <c r="C204" s="69" t="s">
        <v>88</v>
      </c>
      <c r="D204" s="69" t="s">
        <v>79</v>
      </c>
      <c r="E204" s="69" t="s">
        <v>27</v>
      </c>
      <c r="F204" s="69" t="s">
        <v>11</v>
      </c>
      <c r="G204" s="73">
        <v>510</v>
      </c>
      <c r="H204" s="69" t="s">
        <v>53</v>
      </c>
    </row>
    <row r="205" spans="1:8" x14ac:dyDescent="0.3">
      <c r="A205" s="69">
        <v>1</v>
      </c>
      <c r="B205" s="70">
        <v>45961</v>
      </c>
      <c r="C205" s="69" t="s">
        <v>88</v>
      </c>
      <c r="D205" s="69" t="s">
        <v>80</v>
      </c>
      <c r="E205" s="69" t="s">
        <v>29</v>
      </c>
      <c r="F205" s="69" t="s">
        <v>11</v>
      </c>
      <c r="G205" s="73">
        <v>1200</v>
      </c>
      <c r="H205" s="69" t="s">
        <v>53</v>
      </c>
    </row>
    <row r="206" spans="1:8" x14ac:dyDescent="0.3">
      <c r="A206" s="69">
        <v>1</v>
      </c>
      <c r="B206" s="70">
        <v>45961</v>
      </c>
      <c r="C206" s="69" t="s">
        <v>88</v>
      </c>
      <c r="D206" s="69" t="s">
        <v>81</v>
      </c>
      <c r="E206" s="69" t="s">
        <v>31</v>
      </c>
      <c r="F206" s="69" t="s">
        <v>11</v>
      </c>
      <c r="G206" s="73">
        <v>160</v>
      </c>
      <c r="H206" s="69" t="s">
        <v>53</v>
      </c>
    </row>
    <row r="207" spans="1:8" x14ac:dyDescent="0.3">
      <c r="A207" s="69">
        <v>1</v>
      </c>
      <c r="B207" s="70">
        <v>45961</v>
      </c>
      <c r="C207" s="69" t="s">
        <v>88</v>
      </c>
      <c r="D207" s="69" t="s">
        <v>82</v>
      </c>
      <c r="E207" s="69" t="s">
        <v>36</v>
      </c>
      <c r="F207" s="69" t="s">
        <v>11</v>
      </c>
      <c r="G207" s="73">
        <v>400</v>
      </c>
      <c r="H207" s="69" t="s">
        <v>53</v>
      </c>
    </row>
    <row r="208" spans="1:8" x14ac:dyDescent="0.3">
      <c r="A208" s="69">
        <v>1</v>
      </c>
      <c r="B208" s="70">
        <v>45961</v>
      </c>
      <c r="C208" s="69" t="s">
        <v>88</v>
      </c>
      <c r="D208" s="69" t="s">
        <v>83</v>
      </c>
      <c r="E208" s="69" t="s">
        <v>40</v>
      </c>
      <c r="F208" s="69" t="s">
        <v>11</v>
      </c>
      <c r="G208" s="73">
        <v>140</v>
      </c>
      <c r="H208" s="69" t="s">
        <v>53</v>
      </c>
    </row>
    <row r="209" spans="1:8" x14ac:dyDescent="0.3">
      <c r="A209" s="69">
        <v>1</v>
      </c>
      <c r="B209" s="70">
        <v>45961</v>
      </c>
      <c r="C209" s="69" t="s">
        <v>88</v>
      </c>
      <c r="D209" s="69" t="s">
        <v>84</v>
      </c>
      <c r="E209" s="69" t="s">
        <v>42</v>
      </c>
      <c r="F209" s="69" t="s">
        <v>11</v>
      </c>
      <c r="G209" s="73">
        <v>85</v>
      </c>
      <c r="H209" s="69" t="s">
        <v>53</v>
      </c>
    </row>
    <row r="210" spans="1:8" x14ac:dyDescent="0.3">
      <c r="A210" s="69">
        <v>1</v>
      </c>
      <c r="B210" s="70">
        <v>45961</v>
      </c>
      <c r="C210" s="69" t="s">
        <v>88</v>
      </c>
      <c r="D210" s="69" t="s">
        <v>86</v>
      </c>
      <c r="E210" s="69" t="s">
        <v>45</v>
      </c>
      <c r="F210" s="69" t="s">
        <v>11</v>
      </c>
      <c r="G210" s="73">
        <v>115</v>
      </c>
      <c r="H210" s="69" t="s">
        <v>53</v>
      </c>
    </row>
    <row r="211" spans="1:8" x14ac:dyDescent="0.3">
      <c r="A211" s="69">
        <v>1</v>
      </c>
      <c r="B211" s="70">
        <v>45961</v>
      </c>
      <c r="C211" s="69" t="s">
        <v>88</v>
      </c>
      <c r="D211" s="69" t="s">
        <v>87</v>
      </c>
      <c r="E211" s="69" t="s">
        <v>48</v>
      </c>
      <c r="F211" s="69" t="s">
        <v>11</v>
      </c>
      <c r="G211" s="73">
        <v>180</v>
      </c>
      <c r="H211" s="69" t="s">
        <v>53</v>
      </c>
    </row>
    <row r="212" spans="1:8" x14ac:dyDescent="0.3">
      <c r="A212" s="69">
        <v>1</v>
      </c>
      <c r="B212" s="70">
        <v>45991</v>
      </c>
      <c r="C212" s="69" t="s">
        <v>88</v>
      </c>
      <c r="D212" s="69" t="s">
        <v>77</v>
      </c>
      <c r="E212" s="69" t="s">
        <v>21</v>
      </c>
      <c r="F212" s="69" t="s">
        <v>11</v>
      </c>
      <c r="G212" s="73">
        <v>80</v>
      </c>
      <c r="H212" s="69" t="s">
        <v>53</v>
      </c>
    </row>
    <row r="213" spans="1:8" x14ac:dyDescent="0.3">
      <c r="A213" s="69">
        <v>1</v>
      </c>
      <c r="B213" s="70">
        <v>45991</v>
      </c>
      <c r="C213" s="69" t="s">
        <v>88</v>
      </c>
      <c r="D213" s="69" t="s">
        <v>78</v>
      </c>
      <c r="E213" s="69" t="s">
        <v>23</v>
      </c>
      <c r="F213" s="69" t="s">
        <v>11</v>
      </c>
      <c r="G213" s="73">
        <v>205</v>
      </c>
      <c r="H213" s="69" t="s">
        <v>53</v>
      </c>
    </row>
    <row r="214" spans="1:8" x14ac:dyDescent="0.3">
      <c r="A214" s="69">
        <v>1</v>
      </c>
      <c r="B214" s="70">
        <v>45991</v>
      </c>
      <c r="C214" s="69" t="s">
        <v>88</v>
      </c>
      <c r="D214" s="69" t="s">
        <v>79</v>
      </c>
      <c r="E214" s="69" t="s">
        <v>27</v>
      </c>
      <c r="F214" s="69" t="s">
        <v>11</v>
      </c>
      <c r="G214" s="73">
        <v>500</v>
      </c>
      <c r="H214" s="69" t="s">
        <v>53</v>
      </c>
    </row>
    <row r="215" spans="1:8" x14ac:dyDescent="0.3">
      <c r="A215" s="69">
        <v>1</v>
      </c>
      <c r="B215" s="70">
        <v>45991</v>
      </c>
      <c r="C215" s="69" t="s">
        <v>88</v>
      </c>
      <c r="D215" s="69" t="s">
        <v>80</v>
      </c>
      <c r="E215" s="69" t="s">
        <v>29</v>
      </c>
      <c r="F215" s="69" t="s">
        <v>11</v>
      </c>
      <c r="G215" s="73">
        <v>1200</v>
      </c>
      <c r="H215" s="69" t="s">
        <v>53</v>
      </c>
    </row>
    <row r="216" spans="1:8" x14ac:dyDescent="0.3">
      <c r="A216" s="69">
        <v>1</v>
      </c>
      <c r="B216" s="70">
        <v>45991</v>
      </c>
      <c r="C216" s="69" t="s">
        <v>88</v>
      </c>
      <c r="D216" s="69" t="s">
        <v>81</v>
      </c>
      <c r="E216" s="69" t="s">
        <v>31</v>
      </c>
      <c r="F216" s="69" t="s">
        <v>11</v>
      </c>
      <c r="G216" s="73">
        <v>150</v>
      </c>
      <c r="H216" s="69" t="s">
        <v>53</v>
      </c>
    </row>
    <row r="217" spans="1:8" x14ac:dyDescent="0.3">
      <c r="A217" s="69">
        <v>1</v>
      </c>
      <c r="B217" s="70">
        <v>45991</v>
      </c>
      <c r="C217" s="69" t="s">
        <v>88</v>
      </c>
      <c r="D217" s="69" t="s">
        <v>82</v>
      </c>
      <c r="E217" s="69" t="s">
        <v>36</v>
      </c>
      <c r="F217" s="69" t="s">
        <v>11</v>
      </c>
      <c r="G217" s="73">
        <v>400</v>
      </c>
      <c r="H217" s="69" t="s">
        <v>53</v>
      </c>
    </row>
    <row r="218" spans="1:8" x14ac:dyDescent="0.3">
      <c r="A218" s="69">
        <v>1</v>
      </c>
      <c r="B218" s="70">
        <v>45991</v>
      </c>
      <c r="C218" s="69" t="s">
        <v>88</v>
      </c>
      <c r="D218" s="69" t="s">
        <v>83</v>
      </c>
      <c r="E218" s="69" t="s">
        <v>40</v>
      </c>
      <c r="F218" s="69" t="s">
        <v>11</v>
      </c>
      <c r="G218" s="73">
        <v>135</v>
      </c>
      <c r="H218" s="69" t="s">
        <v>53</v>
      </c>
    </row>
    <row r="219" spans="1:8" x14ac:dyDescent="0.3">
      <c r="A219" s="69">
        <v>1</v>
      </c>
      <c r="B219" s="70">
        <v>45991</v>
      </c>
      <c r="C219" s="69" t="s">
        <v>88</v>
      </c>
      <c r="D219" s="69" t="s">
        <v>84</v>
      </c>
      <c r="E219" s="69" t="s">
        <v>42</v>
      </c>
      <c r="F219" s="69" t="s">
        <v>11</v>
      </c>
      <c r="G219" s="73">
        <v>95</v>
      </c>
      <c r="H219" s="69" t="s">
        <v>53</v>
      </c>
    </row>
    <row r="220" spans="1:8" x14ac:dyDescent="0.3">
      <c r="A220" s="69">
        <v>1</v>
      </c>
      <c r="B220" s="70">
        <v>45991</v>
      </c>
      <c r="C220" s="69" t="s">
        <v>88</v>
      </c>
      <c r="D220" s="69" t="s">
        <v>86</v>
      </c>
      <c r="E220" s="69" t="s">
        <v>45</v>
      </c>
      <c r="F220" s="69" t="s">
        <v>11</v>
      </c>
      <c r="G220" s="73">
        <v>120</v>
      </c>
      <c r="H220" s="69" t="s">
        <v>53</v>
      </c>
    </row>
    <row r="221" spans="1:8" x14ac:dyDescent="0.3">
      <c r="A221" s="69">
        <v>1</v>
      </c>
      <c r="B221" s="70">
        <v>45991</v>
      </c>
      <c r="C221" s="69" t="s">
        <v>88</v>
      </c>
      <c r="D221" s="69" t="s">
        <v>87</v>
      </c>
      <c r="E221" s="69" t="s">
        <v>48</v>
      </c>
      <c r="F221" s="69" t="s">
        <v>11</v>
      </c>
      <c r="G221" s="73">
        <v>190</v>
      </c>
      <c r="H221" s="69" t="s">
        <v>53</v>
      </c>
    </row>
    <row r="222" spans="1:8" x14ac:dyDescent="0.3">
      <c r="A222">
        <v>1</v>
      </c>
      <c r="B222" s="74">
        <v>45322</v>
      </c>
      <c r="C222" t="s">
        <v>88</v>
      </c>
      <c r="D222" t="s">
        <v>77</v>
      </c>
      <c r="E222" t="s">
        <v>21</v>
      </c>
      <c r="F222" t="s">
        <v>11</v>
      </c>
      <c r="G222" s="75">
        <v>85</v>
      </c>
      <c r="H222" t="s">
        <v>53</v>
      </c>
    </row>
    <row r="223" spans="1:8" x14ac:dyDescent="0.3">
      <c r="A223">
        <v>1</v>
      </c>
      <c r="B223" s="74">
        <v>45322</v>
      </c>
      <c r="C223" t="s">
        <v>88</v>
      </c>
      <c r="D223" t="s">
        <v>78</v>
      </c>
      <c r="E223" t="s">
        <v>23</v>
      </c>
      <c r="F223" t="s">
        <v>11</v>
      </c>
      <c r="G223" s="75">
        <v>190</v>
      </c>
      <c r="H223" t="s">
        <v>53</v>
      </c>
    </row>
    <row r="224" spans="1:8" x14ac:dyDescent="0.3">
      <c r="A224">
        <v>1</v>
      </c>
      <c r="B224" s="74">
        <v>45322</v>
      </c>
      <c r="C224" t="s">
        <v>88</v>
      </c>
      <c r="D224" t="s">
        <v>79</v>
      </c>
      <c r="E224" t="s">
        <v>27</v>
      </c>
      <c r="F224" t="s">
        <v>11</v>
      </c>
      <c r="G224" s="75">
        <v>520</v>
      </c>
      <c r="H224" t="s">
        <v>53</v>
      </c>
    </row>
    <row r="225" spans="1:8" x14ac:dyDescent="0.3">
      <c r="A225">
        <v>1</v>
      </c>
      <c r="B225" s="74">
        <v>45322</v>
      </c>
      <c r="C225" t="s">
        <v>88</v>
      </c>
      <c r="D225" t="s">
        <v>80</v>
      </c>
      <c r="E225" t="s">
        <v>29</v>
      </c>
      <c r="F225" t="s">
        <v>11</v>
      </c>
      <c r="G225" s="75">
        <v>1200</v>
      </c>
      <c r="H225" t="s">
        <v>53</v>
      </c>
    </row>
    <row r="226" spans="1:8" x14ac:dyDescent="0.3">
      <c r="A226">
        <v>1</v>
      </c>
      <c r="B226" s="74">
        <v>45322</v>
      </c>
      <c r="C226" t="s">
        <v>88</v>
      </c>
      <c r="D226" t="s">
        <v>81</v>
      </c>
      <c r="E226" t="s">
        <v>31</v>
      </c>
      <c r="F226" t="s">
        <v>11</v>
      </c>
      <c r="G226" s="75">
        <v>160</v>
      </c>
      <c r="H226" t="s">
        <v>53</v>
      </c>
    </row>
    <row r="227" spans="1:8" x14ac:dyDescent="0.3">
      <c r="A227">
        <v>1</v>
      </c>
      <c r="B227" s="74">
        <v>45322</v>
      </c>
      <c r="C227" t="s">
        <v>88</v>
      </c>
      <c r="D227" t="s">
        <v>82</v>
      </c>
      <c r="E227" t="s">
        <v>36</v>
      </c>
      <c r="F227" t="s">
        <v>11</v>
      </c>
      <c r="G227" s="75">
        <v>400</v>
      </c>
      <c r="H227" t="s">
        <v>53</v>
      </c>
    </row>
    <row r="228" spans="1:8" x14ac:dyDescent="0.3">
      <c r="A228">
        <v>1</v>
      </c>
      <c r="B228" s="74">
        <v>45322</v>
      </c>
      <c r="C228" t="s">
        <v>88</v>
      </c>
      <c r="D228" t="s">
        <v>83</v>
      </c>
      <c r="E228" t="s">
        <v>40</v>
      </c>
      <c r="F228" t="s">
        <v>11</v>
      </c>
      <c r="G228" s="75">
        <v>130</v>
      </c>
      <c r="H228" t="s">
        <v>53</v>
      </c>
    </row>
    <row r="229" spans="1:8" x14ac:dyDescent="0.3">
      <c r="A229">
        <v>1</v>
      </c>
      <c r="B229" s="74">
        <v>45322</v>
      </c>
      <c r="C229" t="s">
        <v>88</v>
      </c>
      <c r="D229" t="s">
        <v>84</v>
      </c>
      <c r="E229" t="s">
        <v>42</v>
      </c>
      <c r="F229" t="s">
        <v>11</v>
      </c>
      <c r="G229" s="75">
        <v>95</v>
      </c>
      <c r="H229" t="s">
        <v>53</v>
      </c>
    </row>
    <row r="230" spans="1:8" x14ac:dyDescent="0.3">
      <c r="A230">
        <v>1</v>
      </c>
      <c r="B230" s="74">
        <v>45322</v>
      </c>
      <c r="C230" t="s">
        <v>88</v>
      </c>
      <c r="D230" t="s">
        <v>86</v>
      </c>
      <c r="E230" t="s">
        <v>45</v>
      </c>
      <c r="F230" t="s">
        <v>11</v>
      </c>
      <c r="G230" s="75">
        <v>115</v>
      </c>
      <c r="H230" t="s">
        <v>53</v>
      </c>
    </row>
    <row r="231" spans="1:8" x14ac:dyDescent="0.3">
      <c r="A231">
        <v>1</v>
      </c>
      <c r="B231" s="74">
        <v>45322</v>
      </c>
      <c r="C231" t="s">
        <v>88</v>
      </c>
      <c r="D231" t="s">
        <v>87</v>
      </c>
      <c r="E231" t="s">
        <v>48</v>
      </c>
      <c r="F231" t="s">
        <v>11</v>
      </c>
      <c r="G231" s="75">
        <v>170</v>
      </c>
      <c r="H231" t="s">
        <v>53</v>
      </c>
    </row>
    <row r="232" spans="1:8" x14ac:dyDescent="0.3">
      <c r="A232">
        <v>1</v>
      </c>
      <c r="B232" s="74">
        <v>45351</v>
      </c>
      <c r="C232" t="s">
        <v>88</v>
      </c>
      <c r="D232" t="s">
        <v>77</v>
      </c>
      <c r="E232" t="s">
        <v>21</v>
      </c>
      <c r="F232" t="s">
        <v>11</v>
      </c>
      <c r="G232" s="75">
        <v>80</v>
      </c>
      <c r="H232" t="s">
        <v>53</v>
      </c>
    </row>
    <row r="233" spans="1:8" x14ac:dyDescent="0.3">
      <c r="A233">
        <v>1</v>
      </c>
      <c r="B233" s="74">
        <v>45351</v>
      </c>
      <c r="C233" t="s">
        <v>88</v>
      </c>
      <c r="D233" t="s">
        <v>78</v>
      </c>
      <c r="E233" t="s">
        <v>23</v>
      </c>
      <c r="F233" t="s">
        <v>11</v>
      </c>
      <c r="G233" s="75">
        <v>210</v>
      </c>
      <c r="H233" t="s">
        <v>53</v>
      </c>
    </row>
    <row r="234" spans="1:8" x14ac:dyDescent="0.3">
      <c r="A234">
        <v>1</v>
      </c>
      <c r="B234" s="74">
        <v>45351</v>
      </c>
      <c r="C234" t="s">
        <v>88</v>
      </c>
      <c r="D234" t="s">
        <v>79</v>
      </c>
      <c r="E234" t="s">
        <v>27</v>
      </c>
      <c r="F234" t="s">
        <v>11</v>
      </c>
      <c r="G234" s="75">
        <v>505</v>
      </c>
      <c r="H234" t="s">
        <v>53</v>
      </c>
    </row>
    <row r="235" spans="1:8" x14ac:dyDescent="0.3">
      <c r="A235">
        <v>1</v>
      </c>
      <c r="B235" s="74">
        <v>45351</v>
      </c>
      <c r="C235" t="s">
        <v>88</v>
      </c>
      <c r="D235" t="s">
        <v>80</v>
      </c>
      <c r="E235" t="s">
        <v>29</v>
      </c>
      <c r="F235" t="s">
        <v>11</v>
      </c>
      <c r="G235" s="75">
        <v>1200</v>
      </c>
      <c r="H235" t="s">
        <v>53</v>
      </c>
    </row>
    <row r="236" spans="1:8" x14ac:dyDescent="0.3">
      <c r="A236">
        <v>1</v>
      </c>
      <c r="B236" s="74">
        <v>45351</v>
      </c>
      <c r="C236" t="s">
        <v>88</v>
      </c>
      <c r="D236" t="s">
        <v>81</v>
      </c>
      <c r="E236" t="s">
        <v>31</v>
      </c>
      <c r="F236" t="s">
        <v>11</v>
      </c>
      <c r="G236" s="75">
        <v>145</v>
      </c>
      <c r="H236" t="s">
        <v>53</v>
      </c>
    </row>
    <row r="237" spans="1:8" x14ac:dyDescent="0.3">
      <c r="A237">
        <v>1</v>
      </c>
      <c r="B237" s="74">
        <v>45351</v>
      </c>
      <c r="C237" t="s">
        <v>88</v>
      </c>
      <c r="D237" t="s">
        <v>82</v>
      </c>
      <c r="E237" t="s">
        <v>36</v>
      </c>
      <c r="F237" t="s">
        <v>11</v>
      </c>
      <c r="G237" s="75">
        <v>400</v>
      </c>
      <c r="H237" t="s">
        <v>53</v>
      </c>
    </row>
    <row r="238" spans="1:8" x14ac:dyDescent="0.3">
      <c r="A238">
        <v>1</v>
      </c>
      <c r="B238" s="74">
        <v>45351</v>
      </c>
      <c r="C238" t="s">
        <v>88</v>
      </c>
      <c r="D238" t="s">
        <v>83</v>
      </c>
      <c r="E238" t="s">
        <v>40</v>
      </c>
      <c r="F238" t="s">
        <v>11</v>
      </c>
      <c r="G238" s="75">
        <v>120</v>
      </c>
      <c r="H238" t="s">
        <v>53</v>
      </c>
    </row>
    <row r="239" spans="1:8" x14ac:dyDescent="0.3">
      <c r="A239">
        <v>1</v>
      </c>
      <c r="B239" s="74">
        <v>45351</v>
      </c>
      <c r="C239" t="s">
        <v>88</v>
      </c>
      <c r="D239" t="s">
        <v>84</v>
      </c>
      <c r="E239" t="s">
        <v>42</v>
      </c>
      <c r="F239" t="s">
        <v>11</v>
      </c>
      <c r="G239" s="75">
        <v>85</v>
      </c>
      <c r="H239" t="s">
        <v>53</v>
      </c>
    </row>
    <row r="240" spans="1:8" x14ac:dyDescent="0.3">
      <c r="A240">
        <v>1</v>
      </c>
      <c r="B240" s="74">
        <v>45351</v>
      </c>
      <c r="C240" t="s">
        <v>88</v>
      </c>
      <c r="D240" t="s">
        <v>86</v>
      </c>
      <c r="E240" t="s">
        <v>45</v>
      </c>
      <c r="F240" t="s">
        <v>11</v>
      </c>
      <c r="G240" s="75">
        <v>105</v>
      </c>
      <c r="H240" t="s">
        <v>53</v>
      </c>
    </row>
    <row r="241" spans="1:8" x14ac:dyDescent="0.3">
      <c r="A241">
        <v>1</v>
      </c>
      <c r="B241" s="74">
        <v>45351</v>
      </c>
      <c r="C241" t="s">
        <v>88</v>
      </c>
      <c r="D241" t="s">
        <v>87</v>
      </c>
      <c r="E241" t="s">
        <v>48</v>
      </c>
      <c r="F241" t="s">
        <v>11</v>
      </c>
      <c r="G241" s="75">
        <v>160</v>
      </c>
      <c r="H241" t="s">
        <v>53</v>
      </c>
    </row>
    <row r="242" spans="1:8" x14ac:dyDescent="0.3">
      <c r="A242">
        <v>1</v>
      </c>
      <c r="B242" s="74">
        <v>45382</v>
      </c>
      <c r="C242" t="s">
        <v>88</v>
      </c>
      <c r="D242" t="s">
        <v>77</v>
      </c>
      <c r="E242" t="s">
        <v>21</v>
      </c>
      <c r="F242" t="s">
        <v>11</v>
      </c>
      <c r="G242" s="75">
        <v>75</v>
      </c>
      <c r="H242" t="s">
        <v>53</v>
      </c>
    </row>
    <row r="243" spans="1:8" x14ac:dyDescent="0.3">
      <c r="A243">
        <v>1</v>
      </c>
      <c r="B243" s="74">
        <v>45382</v>
      </c>
      <c r="C243" t="s">
        <v>88</v>
      </c>
      <c r="D243" t="s">
        <v>78</v>
      </c>
      <c r="E243" t="s">
        <v>23</v>
      </c>
      <c r="F243" t="s">
        <v>11</v>
      </c>
      <c r="G243" s="75">
        <v>230</v>
      </c>
      <c r="H243" t="s">
        <v>53</v>
      </c>
    </row>
    <row r="244" spans="1:8" x14ac:dyDescent="0.3">
      <c r="A244">
        <v>1</v>
      </c>
      <c r="B244" s="74">
        <v>45382</v>
      </c>
      <c r="C244" t="s">
        <v>88</v>
      </c>
      <c r="D244" t="s">
        <v>79</v>
      </c>
      <c r="E244" t="s">
        <v>27</v>
      </c>
      <c r="F244" t="s">
        <v>11</v>
      </c>
      <c r="G244" s="75">
        <v>510</v>
      </c>
      <c r="H244" t="s">
        <v>53</v>
      </c>
    </row>
    <row r="245" spans="1:8" x14ac:dyDescent="0.3">
      <c r="A245">
        <v>1</v>
      </c>
      <c r="B245" s="74">
        <v>45382</v>
      </c>
      <c r="C245" t="s">
        <v>88</v>
      </c>
      <c r="D245" t="s">
        <v>80</v>
      </c>
      <c r="E245" t="s">
        <v>29</v>
      </c>
      <c r="F245" t="s">
        <v>11</v>
      </c>
      <c r="G245" s="75">
        <v>1200</v>
      </c>
      <c r="H245" t="s">
        <v>53</v>
      </c>
    </row>
    <row r="246" spans="1:8" x14ac:dyDescent="0.3">
      <c r="A246">
        <v>1</v>
      </c>
      <c r="B246" s="74">
        <v>45382</v>
      </c>
      <c r="C246" t="s">
        <v>88</v>
      </c>
      <c r="D246" t="s">
        <v>81</v>
      </c>
      <c r="E246" t="s">
        <v>31</v>
      </c>
      <c r="F246" t="s">
        <v>11</v>
      </c>
      <c r="G246" s="75">
        <v>150</v>
      </c>
      <c r="H246" t="s">
        <v>53</v>
      </c>
    </row>
    <row r="247" spans="1:8" x14ac:dyDescent="0.3">
      <c r="A247">
        <v>1</v>
      </c>
      <c r="B247" s="74">
        <v>45382</v>
      </c>
      <c r="C247" t="s">
        <v>88</v>
      </c>
      <c r="D247" t="s">
        <v>82</v>
      </c>
      <c r="E247" t="s">
        <v>36</v>
      </c>
      <c r="F247" t="s">
        <v>11</v>
      </c>
      <c r="G247" s="75">
        <v>400</v>
      </c>
      <c r="H247" t="s">
        <v>53</v>
      </c>
    </row>
    <row r="248" spans="1:8" x14ac:dyDescent="0.3">
      <c r="A248">
        <v>1</v>
      </c>
      <c r="B248" s="74">
        <v>45382</v>
      </c>
      <c r="C248" t="s">
        <v>88</v>
      </c>
      <c r="D248" t="s">
        <v>83</v>
      </c>
      <c r="E248" t="s">
        <v>40</v>
      </c>
      <c r="F248" t="s">
        <v>11</v>
      </c>
      <c r="G248" s="75">
        <v>135</v>
      </c>
      <c r="H248" t="s">
        <v>53</v>
      </c>
    </row>
    <row r="249" spans="1:8" x14ac:dyDescent="0.3">
      <c r="A249">
        <v>1</v>
      </c>
      <c r="B249" s="74">
        <v>45382</v>
      </c>
      <c r="C249" t="s">
        <v>88</v>
      </c>
      <c r="D249" t="s">
        <v>84</v>
      </c>
      <c r="E249" t="s">
        <v>42</v>
      </c>
      <c r="F249" t="s">
        <v>11</v>
      </c>
      <c r="G249" s="75">
        <v>110</v>
      </c>
      <c r="H249" t="s">
        <v>53</v>
      </c>
    </row>
    <row r="250" spans="1:8" x14ac:dyDescent="0.3">
      <c r="A250">
        <v>1</v>
      </c>
      <c r="B250" s="74">
        <v>45382</v>
      </c>
      <c r="C250" t="s">
        <v>88</v>
      </c>
      <c r="D250" t="s">
        <v>86</v>
      </c>
      <c r="E250" t="s">
        <v>45</v>
      </c>
      <c r="F250" t="s">
        <v>11</v>
      </c>
      <c r="G250" s="75">
        <v>120</v>
      </c>
      <c r="H250" t="s">
        <v>53</v>
      </c>
    </row>
    <row r="251" spans="1:8" x14ac:dyDescent="0.3">
      <c r="A251">
        <v>1</v>
      </c>
      <c r="B251" s="74">
        <v>45382</v>
      </c>
      <c r="C251" t="s">
        <v>88</v>
      </c>
      <c r="D251" t="s">
        <v>87</v>
      </c>
      <c r="E251" t="s">
        <v>48</v>
      </c>
      <c r="F251" t="s">
        <v>11</v>
      </c>
      <c r="G251" s="75">
        <v>200</v>
      </c>
      <c r="H251" t="s">
        <v>53</v>
      </c>
    </row>
    <row r="252" spans="1:8" x14ac:dyDescent="0.3">
      <c r="A252">
        <v>1</v>
      </c>
      <c r="B252" s="74">
        <v>45412</v>
      </c>
      <c r="C252" t="s">
        <v>88</v>
      </c>
      <c r="D252" t="s">
        <v>77</v>
      </c>
      <c r="E252" t="s">
        <v>21</v>
      </c>
      <c r="F252" t="s">
        <v>11</v>
      </c>
      <c r="G252" s="75">
        <v>85</v>
      </c>
      <c r="H252" t="s">
        <v>53</v>
      </c>
    </row>
    <row r="253" spans="1:8" x14ac:dyDescent="0.3">
      <c r="A253">
        <v>1</v>
      </c>
      <c r="B253" s="74">
        <v>45412</v>
      </c>
      <c r="C253" t="s">
        <v>88</v>
      </c>
      <c r="D253" t="s">
        <v>78</v>
      </c>
      <c r="E253" t="s">
        <v>23</v>
      </c>
      <c r="F253" t="s">
        <v>11</v>
      </c>
      <c r="G253" s="75">
        <v>200</v>
      </c>
      <c r="H253" t="s">
        <v>53</v>
      </c>
    </row>
    <row r="254" spans="1:8" x14ac:dyDescent="0.3">
      <c r="A254">
        <v>1</v>
      </c>
      <c r="B254" s="74">
        <v>45412</v>
      </c>
      <c r="C254" t="s">
        <v>88</v>
      </c>
      <c r="D254" t="s">
        <v>79</v>
      </c>
      <c r="E254" t="s">
        <v>27</v>
      </c>
      <c r="F254" t="s">
        <v>11</v>
      </c>
      <c r="G254" s="75">
        <v>530</v>
      </c>
      <c r="H254" t="s">
        <v>53</v>
      </c>
    </row>
    <row r="255" spans="1:8" x14ac:dyDescent="0.3">
      <c r="A255">
        <v>1</v>
      </c>
      <c r="B255" s="74">
        <v>45412</v>
      </c>
      <c r="C255" t="s">
        <v>88</v>
      </c>
      <c r="D255" t="s">
        <v>80</v>
      </c>
      <c r="E255" t="s">
        <v>29</v>
      </c>
      <c r="F255" t="s">
        <v>11</v>
      </c>
      <c r="G255" s="75">
        <v>1200</v>
      </c>
      <c r="H255" t="s">
        <v>53</v>
      </c>
    </row>
    <row r="256" spans="1:8" x14ac:dyDescent="0.3">
      <c r="A256">
        <v>1</v>
      </c>
      <c r="B256" s="74">
        <v>45412</v>
      </c>
      <c r="C256" t="s">
        <v>88</v>
      </c>
      <c r="D256" t="s">
        <v>81</v>
      </c>
      <c r="E256" t="s">
        <v>31</v>
      </c>
      <c r="F256" t="s">
        <v>11</v>
      </c>
      <c r="G256" s="75">
        <v>155</v>
      </c>
      <c r="H256" t="s">
        <v>53</v>
      </c>
    </row>
    <row r="257" spans="1:8" x14ac:dyDescent="0.3">
      <c r="A257">
        <v>1</v>
      </c>
      <c r="B257" s="74">
        <v>45412</v>
      </c>
      <c r="C257" t="s">
        <v>88</v>
      </c>
      <c r="D257" t="s">
        <v>82</v>
      </c>
      <c r="E257" t="s">
        <v>36</v>
      </c>
      <c r="F257" t="s">
        <v>11</v>
      </c>
      <c r="G257" s="75">
        <v>400</v>
      </c>
      <c r="H257" t="s">
        <v>53</v>
      </c>
    </row>
    <row r="258" spans="1:8" x14ac:dyDescent="0.3">
      <c r="A258">
        <v>1</v>
      </c>
      <c r="B258" s="74">
        <v>45412</v>
      </c>
      <c r="C258" t="s">
        <v>88</v>
      </c>
      <c r="D258" t="s">
        <v>83</v>
      </c>
      <c r="E258" t="s">
        <v>40</v>
      </c>
      <c r="F258" t="s">
        <v>11</v>
      </c>
      <c r="G258" s="75">
        <v>125</v>
      </c>
      <c r="H258" t="s">
        <v>53</v>
      </c>
    </row>
    <row r="259" spans="1:8" x14ac:dyDescent="0.3">
      <c r="A259">
        <v>1</v>
      </c>
      <c r="B259" s="74">
        <v>45412</v>
      </c>
      <c r="C259" t="s">
        <v>88</v>
      </c>
      <c r="D259" t="s">
        <v>84</v>
      </c>
      <c r="E259" t="s">
        <v>42</v>
      </c>
      <c r="F259" t="s">
        <v>11</v>
      </c>
      <c r="G259" s="75">
        <v>85</v>
      </c>
      <c r="H259" t="s">
        <v>53</v>
      </c>
    </row>
    <row r="260" spans="1:8" x14ac:dyDescent="0.3">
      <c r="A260">
        <v>1</v>
      </c>
      <c r="B260" s="74">
        <v>45412</v>
      </c>
      <c r="C260" t="s">
        <v>88</v>
      </c>
      <c r="D260" t="s">
        <v>86</v>
      </c>
      <c r="E260" t="s">
        <v>45</v>
      </c>
      <c r="F260" t="s">
        <v>11</v>
      </c>
      <c r="G260" s="75">
        <v>115</v>
      </c>
      <c r="H260" t="s">
        <v>53</v>
      </c>
    </row>
    <row r="261" spans="1:8" x14ac:dyDescent="0.3">
      <c r="A261">
        <v>1</v>
      </c>
      <c r="B261" s="74">
        <v>45412</v>
      </c>
      <c r="C261" t="s">
        <v>88</v>
      </c>
      <c r="D261" t="s">
        <v>87</v>
      </c>
      <c r="E261" t="s">
        <v>48</v>
      </c>
      <c r="F261" t="s">
        <v>11</v>
      </c>
      <c r="G261" s="75">
        <v>180</v>
      </c>
      <c r="H261" t="s">
        <v>53</v>
      </c>
    </row>
    <row r="262" spans="1:8" x14ac:dyDescent="0.3">
      <c r="A262">
        <v>1</v>
      </c>
      <c r="B262" s="74">
        <v>45443</v>
      </c>
      <c r="C262" t="s">
        <v>88</v>
      </c>
      <c r="D262" t="s">
        <v>77</v>
      </c>
      <c r="E262" t="s">
        <v>21</v>
      </c>
      <c r="F262" t="s">
        <v>11</v>
      </c>
      <c r="G262" s="75">
        <v>80</v>
      </c>
      <c r="H262" t="s">
        <v>53</v>
      </c>
    </row>
    <row r="263" spans="1:8" x14ac:dyDescent="0.3">
      <c r="A263">
        <v>1</v>
      </c>
      <c r="B263" s="74">
        <v>45443</v>
      </c>
      <c r="C263" t="s">
        <v>88</v>
      </c>
      <c r="D263" t="s">
        <v>78</v>
      </c>
      <c r="E263" t="s">
        <v>23</v>
      </c>
      <c r="F263" t="s">
        <v>11</v>
      </c>
      <c r="G263" s="75">
        <v>215</v>
      </c>
      <c r="H263" t="s">
        <v>53</v>
      </c>
    </row>
    <row r="264" spans="1:8" x14ac:dyDescent="0.3">
      <c r="A264">
        <v>1</v>
      </c>
      <c r="B264" s="74">
        <v>45443</v>
      </c>
      <c r="C264" t="s">
        <v>88</v>
      </c>
      <c r="D264" t="s">
        <v>79</v>
      </c>
      <c r="E264" t="s">
        <v>27</v>
      </c>
      <c r="F264" t="s">
        <v>11</v>
      </c>
      <c r="G264" s="75">
        <v>520</v>
      </c>
      <c r="H264" t="s">
        <v>53</v>
      </c>
    </row>
    <row r="265" spans="1:8" x14ac:dyDescent="0.3">
      <c r="A265">
        <v>1</v>
      </c>
      <c r="B265" s="74">
        <v>45443</v>
      </c>
      <c r="C265" t="s">
        <v>88</v>
      </c>
      <c r="D265" t="s">
        <v>80</v>
      </c>
      <c r="E265" t="s">
        <v>29</v>
      </c>
      <c r="F265" t="s">
        <v>11</v>
      </c>
      <c r="G265" s="75">
        <v>1200</v>
      </c>
      <c r="H265" t="s">
        <v>53</v>
      </c>
    </row>
    <row r="266" spans="1:8" x14ac:dyDescent="0.3">
      <c r="A266">
        <v>1</v>
      </c>
      <c r="B266" s="74">
        <v>45443</v>
      </c>
      <c r="C266" t="s">
        <v>88</v>
      </c>
      <c r="D266" t="s">
        <v>81</v>
      </c>
      <c r="E266" t="s">
        <v>31</v>
      </c>
      <c r="F266" t="s">
        <v>11</v>
      </c>
      <c r="G266" s="75">
        <v>140</v>
      </c>
      <c r="H266" t="s">
        <v>53</v>
      </c>
    </row>
    <row r="267" spans="1:8" x14ac:dyDescent="0.3">
      <c r="A267">
        <v>1</v>
      </c>
      <c r="B267" s="74">
        <v>45443</v>
      </c>
      <c r="C267" t="s">
        <v>88</v>
      </c>
      <c r="D267" t="s">
        <v>82</v>
      </c>
      <c r="E267" t="s">
        <v>36</v>
      </c>
      <c r="F267" t="s">
        <v>11</v>
      </c>
      <c r="G267" s="75">
        <v>400</v>
      </c>
      <c r="H267" t="s">
        <v>53</v>
      </c>
    </row>
    <row r="268" spans="1:8" x14ac:dyDescent="0.3">
      <c r="A268">
        <v>1</v>
      </c>
      <c r="B268" s="74">
        <v>45443</v>
      </c>
      <c r="C268" t="s">
        <v>88</v>
      </c>
      <c r="D268" t="s">
        <v>83</v>
      </c>
      <c r="E268" t="s">
        <v>40</v>
      </c>
      <c r="F268" t="s">
        <v>11</v>
      </c>
      <c r="G268" s="75">
        <v>130</v>
      </c>
      <c r="H268" t="s">
        <v>53</v>
      </c>
    </row>
    <row r="269" spans="1:8" x14ac:dyDescent="0.3">
      <c r="A269">
        <v>1</v>
      </c>
      <c r="B269" s="74">
        <v>45443</v>
      </c>
      <c r="C269" t="s">
        <v>88</v>
      </c>
      <c r="D269" t="s">
        <v>84</v>
      </c>
      <c r="E269" t="s">
        <v>42</v>
      </c>
      <c r="F269" t="s">
        <v>11</v>
      </c>
      <c r="G269" s="75">
        <v>90</v>
      </c>
      <c r="H269" t="s">
        <v>53</v>
      </c>
    </row>
    <row r="270" spans="1:8" x14ac:dyDescent="0.3">
      <c r="A270">
        <v>1</v>
      </c>
      <c r="B270" s="74">
        <v>45443</v>
      </c>
      <c r="C270" t="s">
        <v>88</v>
      </c>
      <c r="D270" t="s">
        <v>86</v>
      </c>
      <c r="E270" t="s">
        <v>45</v>
      </c>
      <c r="F270" t="s">
        <v>11</v>
      </c>
      <c r="G270" s="75">
        <v>110</v>
      </c>
      <c r="H270" t="s">
        <v>53</v>
      </c>
    </row>
    <row r="271" spans="1:8" x14ac:dyDescent="0.3">
      <c r="A271">
        <v>1</v>
      </c>
      <c r="B271" s="74">
        <v>45443</v>
      </c>
      <c r="C271" t="s">
        <v>88</v>
      </c>
      <c r="D271" t="s">
        <v>87</v>
      </c>
      <c r="E271" t="s">
        <v>48</v>
      </c>
      <c r="F271" t="s">
        <v>11</v>
      </c>
      <c r="G271" s="75">
        <v>170</v>
      </c>
      <c r="H271" t="s">
        <v>53</v>
      </c>
    </row>
    <row r="272" spans="1:8" x14ac:dyDescent="0.3">
      <c r="A272">
        <v>1</v>
      </c>
      <c r="B272" s="74">
        <v>45473</v>
      </c>
      <c r="C272" t="s">
        <v>88</v>
      </c>
      <c r="D272" t="s">
        <v>77</v>
      </c>
      <c r="E272" t="s">
        <v>21</v>
      </c>
      <c r="F272" t="s">
        <v>11</v>
      </c>
      <c r="G272" s="75">
        <v>90</v>
      </c>
      <c r="H272" t="s">
        <v>53</v>
      </c>
    </row>
    <row r="273" spans="1:8" x14ac:dyDescent="0.3">
      <c r="A273">
        <v>1</v>
      </c>
      <c r="B273" s="74">
        <v>45473</v>
      </c>
      <c r="C273" t="s">
        <v>88</v>
      </c>
      <c r="D273" t="s">
        <v>78</v>
      </c>
      <c r="E273" t="s">
        <v>23</v>
      </c>
      <c r="F273" t="s">
        <v>11</v>
      </c>
      <c r="G273" s="75">
        <v>185</v>
      </c>
      <c r="H273" t="s">
        <v>53</v>
      </c>
    </row>
    <row r="274" spans="1:8" x14ac:dyDescent="0.3">
      <c r="A274">
        <v>1</v>
      </c>
      <c r="B274" s="74">
        <v>45473</v>
      </c>
      <c r="C274" t="s">
        <v>88</v>
      </c>
      <c r="D274" t="s">
        <v>79</v>
      </c>
      <c r="E274" t="s">
        <v>27</v>
      </c>
      <c r="F274" t="s">
        <v>11</v>
      </c>
      <c r="G274" s="75">
        <v>510</v>
      </c>
      <c r="H274" t="s">
        <v>53</v>
      </c>
    </row>
    <row r="275" spans="1:8" x14ac:dyDescent="0.3">
      <c r="A275">
        <v>1</v>
      </c>
      <c r="B275" s="74">
        <v>45473</v>
      </c>
      <c r="C275" t="s">
        <v>88</v>
      </c>
      <c r="D275" t="s">
        <v>80</v>
      </c>
      <c r="E275" t="s">
        <v>29</v>
      </c>
      <c r="F275" t="s">
        <v>11</v>
      </c>
      <c r="G275" s="75">
        <v>1200</v>
      </c>
      <c r="H275" t="s">
        <v>53</v>
      </c>
    </row>
    <row r="276" spans="1:8" x14ac:dyDescent="0.3">
      <c r="A276">
        <v>1</v>
      </c>
      <c r="B276" s="74">
        <v>45473</v>
      </c>
      <c r="C276" t="s">
        <v>88</v>
      </c>
      <c r="D276" t="s">
        <v>81</v>
      </c>
      <c r="E276" t="s">
        <v>31</v>
      </c>
      <c r="F276" t="s">
        <v>11</v>
      </c>
      <c r="G276" s="75">
        <v>145</v>
      </c>
      <c r="H276" t="s">
        <v>53</v>
      </c>
    </row>
    <row r="277" spans="1:8" x14ac:dyDescent="0.3">
      <c r="A277">
        <v>1</v>
      </c>
      <c r="B277" s="74">
        <v>45473</v>
      </c>
      <c r="C277" t="s">
        <v>88</v>
      </c>
      <c r="D277" t="s">
        <v>82</v>
      </c>
      <c r="E277" t="s">
        <v>36</v>
      </c>
      <c r="F277" t="s">
        <v>11</v>
      </c>
      <c r="G277" s="75">
        <v>400</v>
      </c>
      <c r="H277" t="s">
        <v>53</v>
      </c>
    </row>
    <row r="278" spans="1:8" x14ac:dyDescent="0.3">
      <c r="A278">
        <v>1</v>
      </c>
      <c r="B278" s="74">
        <v>45473</v>
      </c>
      <c r="C278" t="s">
        <v>88</v>
      </c>
      <c r="D278" t="s">
        <v>83</v>
      </c>
      <c r="E278" t="s">
        <v>40</v>
      </c>
      <c r="F278" t="s">
        <v>11</v>
      </c>
      <c r="G278" s="75">
        <v>135</v>
      </c>
      <c r="H278" t="s">
        <v>53</v>
      </c>
    </row>
    <row r="279" spans="1:8" x14ac:dyDescent="0.3">
      <c r="A279">
        <v>1</v>
      </c>
      <c r="B279" s="74">
        <v>45473</v>
      </c>
      <c r="C279" t="s">
        <v>88</v>
      </c>
      <c r="D279" t="s">
        <v>84</v>
      </c>
      <c r="E279" t="s">
        <v>42</v>
      </c>
      <c r="F279" t="s">
        <v>11</v>
      </c>
      <c r="G279" s="75">
        <v>100</v>
      </c>
      <c r="H279" t="s">
        <v>53</v>
      </c>
    </row>
    <row r="280" spans="1:8" x14ac:dyDescent="0.3">
      <c r="A280">
        <v>1</v>
      </c>
      <c r="B280" s="74">
        <v>45473</v>
      </c>
      <c r="C280" t="s">
        <v>88</v>
      </c>
      <c r="D280" t="s">
        <v>86</v>
      </c>
      <c r="E280" t="s">
        <v>45</v>
      </c>
      <c r="F280" t="s">
        <v>11</v>
      </c>
      <c r="G280" s="75">
        <v>125</v>
      </c>
      <c r="H280" t="s">
        <v>53</v>
      </c>
    </row>
    <row r="281" spans="1:8" x14ac:dyDescent="0.3">
      <c r="A281">
        <v>1</v>
      </c>
      <c r="B281" s="74">
        <v>45473</v>
      </c>
      <c r="C281" t="s">
        <v>88</v>
      </c>
      <c r="D281" t="s">
        <v>87</v>
      </c>
      <c r="E281" t="s">
        <v>48</v>
      </c>
      <c r="F281" t="s">
        <v>11</v>
      </c>
      <c r="G281" s="75">
        <v>185</v>
      </c>
      <c r="H281" t="s">
        <v>53</v>
      </c>
    </row>
    <row r="282" spans="1:8" x14ac:dyDescent="0.3">
      <c r="A282">
        <v>1</v>
      </c>
      <c r="B282" s="74">
        <v>45504</v>
      </c>
      <c r="C282" t="s">
        <v>88</v>
      </c>
      <c r="D282" t="s">
        <v>77</v>
      </c>
      <c r="E282" t="s">
        <v>21</v>
      </c>
      <c r="F282" t="s">
        <v>11</v>
      </c>
      <c r="G282" s="75">
        <v>82</v>
      </c>
      <c r="H282" t="s">
        <v>53</v>
      </c>
    </row>
    <row r="283" spans="1:8" x14ac:dyDescent="0.3">
      <c r="A283">
        <v>1</v>
      </c>
      <c r="B283" s="74">
        <v>45504</v>
      </c>
      <c r="C283" t="s">
        <v>88</v>
      </c>
      <c r="D283" t="s">
        <v>78</v>
      </c>
      <c r="E283" t="s">
        <v>23</v>
      </c>
      <c r="F283" t="s">
        <v>11</v>
      </c>
      <c r="G283" s="75">
        <v>195</v>
      </c>
      <c r="H283" t="s">
        <v>53</v>
      </c>
    </row>
    <row r="284" spans="1:8" x14ac:dyDescent="0.3">
      <c r="A284">
        <v>1</v>
      </c>
      <c r="B284" s="74">
        <v>45504</v>
      </c>
      <c r="C284" t="s">
        <v>88</v>
      </c>
      <c r="D284" t="s">
        <v>79</v>
      </c>
      <c r="E284" t="s">
        <v>27</v>
      </c>
      <c r="F284" t="s">
        <v>11</v>
      </c>
      <c r="G284" s="75">
        <v>525</v>
      </c>
      <c r="H284" t="s">
        <v>53</v>
      </c>
    </row>
    <row r="285" spans="1:8" x14ac:dyDescent="0.3">
      <c r="A285">
        <v>1</v>
      </c>
      <c r="B285" s="74">
        <v>45504</v>
      </c>
      <c r="C285" t="s">
        <v>88</v>
      </c>
      <c r="D285" t="s">
        <v>80</v>
      </c>
      <c r="E285" t="s">
        <v>29</v>
      </c>
      <c r="F285" t="s">
        <v>11</v>
      </c>
      <c r="G285" s="75">
        <v>1200</v>
      </c>
      <c r="H285" t="s">
        <v>53</v>
      </c>
    </row>
    <row r="286" spans="1:8" x14ac:dyDescent="0.3">
      <c r="A286">
        <v>1</v>
      </c>
      <c r="B286" s="74">
        <v>45504</v>
      </c>
      <c r="C286" t="s">
        <v>88</v>
      </c>
      <c r="D286" t="s">
        <v>81</v>
      </c>
      <c r="E286" t="s">
        <v>31</v>
      </c>
      <c r="F286" t="s">
        <v>11</v>
      </c>
      <c r="G286" s="75">
        <v>150</v>
      </c>
      <c r="H286" t="s">
        <v>53</v>
      </c>
    </row>
    <row r="287" spans="1:8" x14ac:dyDescent="0.3">
      <c r="A287">
        <v>1</v>
      </c>
      <c r="B287" s="74">
        <v>45504</v>
      </c>
      <c r="C287" t="s">
        <v>88</v>
      </c>
      <c r="D287" t="s">
        <v>82</v>
      </c>
      <c r="E287" t="s">
        <v>36</v>
      </c>
      <c r="F287" t="s">
        <v>11</v>
      </c>
      <c r="G287" s="75">
        <v>400</v>
      </c>
      <c r="H287" t="s">
        <v>53</v>
      </c>
    </row>
    <row r="288" spans="1:8" x14ac:dyDescent="0.3">
      <c r="A288">
        <v>1</v>
      </c>
      <c r="B288" s="74">
        <v>45504</v>
      </c>
      <c r="C288" t="s">
        <v>88</v>
      </c>
      <c r="D288" t="s">
        <v>83</v>
      </c>
      <c r="E288" t="s">
        <v>40</v>
      </c>
      <c r="F288" t="s">
        <v>11</v>
      </c>
      <c r="G288" s="75">
        <v>120</v>
      </c>
      <c r="H288" t="s">
        <v>53</v>
      </c>
    </row>
    <row r="289" spans="1:8" x14ac:dyDescent="0.3">
      <c r="A289">
        <v>1</v>
      </c>
      <c r="B289" s="74">
        <v>45504</v>
      </c>
      <c r="C289" t="s">
        <v>88</v>
      </c>
      <c r="D289" t="s">
        <v>84</v>
      </c>
      <c r="E289" t="s">
        <v>42</v>
      </c>
      <c r="F289" t="s">
        <v>11</v>
      </c>
      <c r="G289" s="75">
        <v>95</v>
      </c>
      <c r="H289" t="s">
        <v>53</v>
      </c>
    </row>
    <row r="290" spans="1:8" x14ac:dyDescent="0.3">
      <c r="A290">
        <v>1</v>
      </c>
      <c r="B290" s="74">
        <v>45504</v>
      </c>
      <c r="C290" t="s">
        <v>88</v>
      </c>
      <c r="D290" t="s">
        <v>86</v>
      </c>
      <c r="E290" t="s">
        <v>45</v>
      </c>
      <c r="F290" t="s">
        <v>11</v>
      </c>
      <c r="G290" s="75">
        <v>115</v>
      </c>
      <c r="H290" t="s">
        <v>53</v>
      </c>
    </row>
    <row r="291" spans="1:8" x14ac:dyDescent="0.3">
      <c r="A291">
        <v>1</v>
      </c>
      <c r="B291" s="74">
        <v>45504</v>
      </c>
      <c r="C291" t="s">
        <v>88</v>
      </c>
      <c r="D291" t="s">
        <v>87</v>
      </c>
      <c r="E291" t="s">
        <v>48</v>
      </c>
      <c r="F291" t="s">
        <v>11</v>
      </c>
      <c r="G291" s="75">
        <v>175</v>
      </c>
      <c r="H291" t="s">
        <v>53</v>
      </c>
    </row>
    <row r="292" spans="1:8" x14ac:dyDescent="0.3">
      <c r="A292">
        <v>1</v>
      </c>
      <c r="B292" s="74">
        <v>45535</v>
      </c>
      <c r="C292" t="s">
        <v>88</v>
      </c>
      <c r="D292" t="s">
        <v>77</v>
      </c>
      <c r="E292" t="s">
        <v>21</v>
      </c>
      <c r="F292" t="s">
        <v>11</v>
      </c>
      <c r="G292" s="75">
        <v>80</v>
      </c>
      <c r="H292" t="s">
        <v>53</v>
      </c>
    </row>
    <row r="293" spans="1:8" x14ac:dyDescent="0.3">
      <c r="A293">
        <v>1</v>
      </c>
      <c r="B293" s="74">
        <v>45535</v>
      </c>
      <c r="C293" t="s">
        <v>88</v>
      </c>
      <c r="D293" t="s">
        <v>78</v>
      </c>
      <c r="E293" t="s">
        <v>23</v>
      </c>
      <c r="F293" t="s">
        <v>11</v>
      </c>
      <c r="G293" s="75">
        <v>220</v>
      </c>
      <c r="H293" t="s">
        <v>53</v>
      </c>
    </row>
    <row r="294" spans="1:8" x14ac:dyDescent="0.3">
      <c r="A294">
        <v>1</v>
      </c>
      <c r="B294" s="74">
        <v>45535</v>
      </c>
      <c r="C294" t="s">
        <v>88</v>
      </c>
      <c r="D294" t="s">
        <v>79</v>
      </c>
      <c r="E294" t="s">
        <v>27</v>
      </c>
      <c r="F294" t="s">
        <v>11</v>
      </c>
      <c r="G294" s="75">
        <v>505</v>
      </c>
      <c r="H294" t="s">
        <v>53</v>
      </c>
    </row>
    <row r="295" spans="1:8" x14ac:dyDescent="0.3">
      <c r="A295">
        <v>1</v>
      </c>
      <c r="B295" s="74">
        <v>45535</v>
      </c>
      <c r="C295" t="s">
        <v>88</v>
      </c>
      <c r="D295" t="s">
        <v>80</v>
      </c>
      <c r="E295" t="s">
        <v>29</v>
      </c>
      <c r="F295" t="s">
        <v>11</v>
      </c>
      <c r="G295" s="75">
        <v>1200</v>
      </c>
      <c r="H295" t="s">
        <v>53</v>
      </c>
    </row>
    <row r="296" spans="1:8" x14ac:dyDescent="0.3">
      <c r="A296">
        <v>1</v>
      </c>
      <c r="B296" s="74">
        <v>45535</v>
      </c>
      <c r="C296" t="s">
        <v>88</v>
      </c>
      <c r="D296" t="s">
        <v>81</v>
      </c>
      <c r="E296" t="s">
        <v>31</v>
      </c>
      <c r="F296" t="s">
        <v>11</v>
      </c>
      <c r="G296" s="75">
        <v>140</v>
      </c>
      <c r="H296" t="s">
        <v>53</v>
      </c>
    </row>
    <row r="297" spans="1:8" x14ac:dyDescent="0.3">
      <c r="A297">
        <v>1</v>
      </c>
      <c r="B297" s="74">
        <v>45535</v>
      </c>
      <c r="C297" t="s">
        <v>88</v>
      </c>
      <c r="D297" t="s">
        <v>82</v>
      </c>
      <c r="E297" t="s">
        <v>36</v>
      </c>
      <c r="F297" t="s">
        <v>11</v>
      </c>
      <c r="G297" s="75">
        <v>400</v>
      </c>
      <c r="H297" t="s">
        <v>53</v>
      </c>
    </row>
    <row r="298" spans="1:8" x14ac:dyDescent="0.3">
      <c r="A298">
        <v>1</v>
      </c>
      <c r="B298" s="74">
        <v>45535</v>
      </c>
      <c r="C298" t="s">
        <v>88</v>
      </c>
      <c r="D298" t="s">
        <v>83</v>
      </c>
      <c r="E298" t="s">
        <v>40</v>
      </c>
      <c r="F298" t="s">
        <v>11</v>
      </c>
      <c r="G298" s="75">
        <v>145</v>
      </c>
      <c r="H298" t="s">
        <v>53</v>
      </c>
    </row>
    <row r="299" spans="1:8" x14ac:dyDescent="0.3">
      <c r="A299">
        <v>1</v>
      </c>
      <c r="B299" s="74">
        <v>45535</v>
      </c>
      <c r="C299" t="s">
        <v>88</v>
      </c>
      <c r="D299" t="s">
        <v>84</v>
      </c>
      <c r="E299" t="s">
        <v>42</v>
      </c>
      <c r="F299" t="s">
        <v>11</v>
      </c>
      <c r="G299" s="75">
        <v>105</v>
      </c>
      <c r="H299" t="s">
        <v>53</v>
      </c>
    </row>
    <row r="300" spans="1:8" x14ac:dyDescent="0.3">
      <c r="A300">
        <v>1</v>
      </c>
      <c r="B300" s="74">
        <v>45535</v>
      </c>
      <c r="C300" t="s">
        <v>88</v>
      </c>
      <c r="D300" t="s">
        <v>86</v>
      </c>
      <c r="E300" t="s">
        <v>45</v>
      </c>
      <c r="F300" t="s">
        <v>11</v>
      </c>
      <c r="G300" s="75">
        <v>120</v>
      </c>
      <c r="H300" t="s">
        <v>53</v>
      </c>
    </row>
    <row r="301" spans="1:8" x14ac:dyDescent="0.3">
      <c r="A301">
        <v>1</v>
      </c>
      <c r="B301" s="74">
        <v>45535</v>
      </c>
      <c r="C301" t="s">
        <v>88</v>
      </c>
      <c r="D301" t="s">
        <v>87</v>
      </c>
      <c r="E301" t="s">
        <v>48</v>
      </c>
      <c r="F301" t="s">
        <v>11</v>
      </c>
      <c r="G301" s="75">
        <v>180</v>
      </c>
      <c r="H301" t="s">
        <v>53</v>
      </c>
    </row>
    <row r="302" spans="1:8" x14ac:dyDescent="0.3">
      <c r="A302">
        <v>1</v>
      </c>
      <c r="B302" s="74">
        <v>45565</v>
      </c>
      <c r="C302" t="s">
        <v>88</v>
      </c>
      <c r="D302" t="s">
        <v>77</v>
      </c>
      <c r="E302" t="s">
        <v>21</v>
      </c>
      <c r="F302" t="s">
        <v>11</v>
      </c>
      <c r="G302" s="75">
        <v>78</v>
      </c>
      <c r="H302" t="s">
        <v>53</v>
      </c>
    </row>
    <row r="303" spans="1:8" x14ac:dyDescent="0.3">
      <c r="A303">
        <v>1</v>
      </c>
      <c r="B303" s="74">
        <v>45565</v>
      </c>
      <c r="C303" t="s">
        <v>88</v>
      </c>
      <c r="D303" t="s">
        <v>78</v>
      </c>
      <c r="E303" t="s">
        <v>23</v>
      </c>
      <c r="F303" t="s">
        <v>11</v>
      </c>
      <c r="G303" s="75">
        <v>205</v>
      </c>
      <c r="H303" t="s">
        <v>53</v>
      </c>
    </row>
    <row r="304" spans="1:8" x14ac:dyDescent="0.3">
      <c r="A304">
        <v>1</v>
      </c>
      <c r="B304" s="74">
        <v>45565</v>
      </c>
      <c r="C304" t="s">
        <v>88</v>
      </c>
      <c r="D304" t="s">
        <v>79</v>
      </c>
      <c r="E304" t="s">
        <v>27</v>
      </c>
      <c r="F304" t="s">
        <v>11</v>
      </c>
      <c r="G304" s="75">
        <v>495</v>
      </c>
      <c r="H304" t="s">
        <v>53</v>
      </c>
    </row>
    <row r="305" spans="1:8" x14ac:dyDescent="0.3">
      <c r="A305">
        <v>1</v>
      </c>
      <c r="B305" s="74">
        <v>45565</v>
      </c>
      <c r="C305" t="s">
        <v>88</v>
      </c>
      <c r="D305" t="s">
        <v>80</v>
      </c>
      <c r="E305" t="s">
        <v>29</v>
      </c>
      <c r="F305" t="s">
        <v>11</v>
      </c>
      <c r="G305" s="75">
        <v>1200</v>
      </c>
      <c r="H305" t="s">
        <v>53</v>
      </c>
    </row>
    <row r="306" spans="1:8" x14ac:dyDescent="0.3">
      <c r="A306">
        <v>1</v>
      </c>
      <c r="B306" s="74">
        <v>45565</v>
      </c>
      <c r="C306" t="s">
        <v>88</v>
      </c>
      <c r="D306" t="s">
        <v>81</v>
      </c>
      <c r="E306" t="s">
        <v>31</v>
      </c>
      <c r="F306" t="s">
        <v>11</v>
      </c>
      <c r="G306" s="75">
        <v>155</v>
      </c>
      <c r="H306" t="s">
        <v>53</v>
      </c>
    </row>
    <row r="307" spans="1:8" x14ac:dyDescent="0.3">
      <c r="A307">
        <v>1</v>
      </c>
      <c r="B307" s="74">
        <v>45565</v>
      </c>
      <c r="C307" t="s">
        <v>88</v>
      </c>
      <c r="D307" t="s">
        <v>82</v>
      </c>
      <c r="E307" t="s">
        <v>36</v>
      </c>
      <c r="F307" t="s">
        <v>11</v>
      </c>
      <c r="G307" s="75">
        <v>400</v>
      </c>
      <c r="H307" t="s">
        <v>53</v>
      </c>
    </row>
    <row r="308" spans="1:8" x14ac:dyDescent="0.3">
      <c r="A308">
        <v>1</v>
      </c>
      <c r="B308" s="74">
        <v>45565</v>
      </c>
      <c r="C308" t="s">
        <v>88</v>
      </c>
      <c r="D308" t="s">
        <v>83</v>
      </c>
      <c r="E308" t="s">
        <v>40</v>
      </c>
      <c r="F308" t="s">
        <v>11</v>
      </c>
      <c r="G308" s="75">
        <v>125</v>
      </c>
      <c r="H308" t="s">
        <v>53</v>
      </c>
    </row>
    <row r="309" spans="1:8" x14ac:dyDescent="0.3">
      <c r="A309">
        <v>1</v>
      </c>
      <c r="B309" s="74">
        <v>45565</v>
      </c>
      <c r="C309" t="s">
        <v>88</v>
      </c>
      <c r="D309" t="s">
        <v>84</v>
      </c>
      <c r="E309" t="s">
        <v>42</v>
      </c>
      <c r="F309" t="s">
        <v>11</v>
      </c>
      <c r="G309" s="75">
        <v>90</v>
      </c>
      <c r="H309" t="s">
        <v>53</v>
      </c>
    </row>
    <row r="310" spans="1:8" x14ac:dyDescent="0.3">
      <c r="A310">
        <v>1</v>
      </c>
      <c r="B310" s="74">
        <v>45565</v>
      </c>
      <c r="C310" t="s">
        <v>88</v>
      </c>
      <c r="D310" t="s">
        <v>86</v>
      </c>
      <c r="E310" t="s">
        <v>45</v>
      </c>
      <c r="F310" t="s">
        <v>11</v>
      </c>
      <c r="G310" s="75">
        <v>105</v>
      </c>
      <c r="H310" t="s">
        <v>53</v>
      </c>
    </row>
    <row r="311" spans="1:8" x14ac:dyDescent="0.3">
      <c r="A311">
        <v>1</v>
      </c>
      <c r="B311" s="74">
        <v>45565</v>
      </c>
      <c r="C311" t="s">
        <v>88</v>
      </c>
      <c r="D311" t="s">
        <v>87</v>
      </c>
      <c r="E311" t="s">
        <v>48</v>
      </c>
      <c r="F311" t="s">
        <v>11</v>
      </c>
      <c r="G311" s="75">
        <v>175</v>
      </c>
      <c r="H311" t="s">
        <v>53</v>
      </c>
    </row>
    <row r="312" spans="1:8" x14ac:dyDescent="0.3">
      <c r="A312">
        <v>1</v>
      </c>
      <c r="B312" s="74">
        <v>45596</v>
      </c>
      <c r="C312" t="s">
        <v>88</v>
      </c>
      <c r="D312" t="s">
        <v>77</v>
      </c>
      <c r="E312" t="s">
        <v>21</v>
      </c>
      <c r="F312" t="s">
        <v>11</v>
      </c>
      <c r="G312" s="75">
        <v>82</v>
      </c>
      <c r="H312" t="s">
        <v>53</v>
      </c>
    </row>
    <row r="313" spans="1:8" x14ac:dyDescent="0.3">
      <c r="A313">
        <v>1</v>
      </c>
      <c r="B313" s="74">
        <v>45596</v>
      </c>
      <c r="C313" t="s">
        <v>88</v>
      </c>
      <c r="D313" t="s">
        <v>78</v>
      </c>
      <c r="E313" t="s">
        <v>23</v>
      </c>
      <c r="F313" t="s">
        <v>11</v>
      </c>
      <c r="G313" s="75">
        <v>200</v>
      </c>
      <c r="H313" t="s">
        <v>53</v>
      </c>
    </row>
    <row r="314" spans="1:8" x14ac:dyDescent="0.3">
      <c r="A314">
        <v>1</v>
      </c>
      <c r="B314" s="74">
        <v>45596</v>
      </c>
      <c r="C314" t="s">
        <v>88</v>
      </c>
      <c r="D314" t="s">
        <v>79</v>
      </c>
      <c r="E314" t="s">
        <v>27</v>
      </c>
      <c r="F314" t="s">
        <v>11</v>
      </c>
      <c r="G314" s="75">
        <v>515</v>
      </c>
      <c r="H314" t="s">
        <v>53</v>
      </c>
    </row>
    <row r="315" spans="1:8" x14ac:dyDescent="0.3">
      <c r="A315">
        <v>1</v>
      </c>
      <c r="B315" s="74">
        <v>45596</v>
      </c>
      <c r="C315" t="s">
        <v>88</v>
      </c>
      <c r="D315" t="s">
        <v>80</v>
      </c>
      <c r="E315" t="s">
        <v>29</v>
      </c>
      <c r="F315" t="s">
        <v>11</v>
      </c>
      <c r="G315" s="75">
        <v>1200</v>
      </c>
      <c r="H315" t="s">
        <v>53</v>
      </c>
    </row>
    <row r="316" spans="1:8" x14ac:dyDescent="0.3">
      <c r="A316">
        <v>1</v>
      </c>
      <c r="B316" s="74">
        <v>45596</v>
      </c>
      <c r="C316" t="s">
        <v>88</v>
      </c>
      <c r="D316" t="s">
        <v>81</v>
      </c>
      <c r="E316" t="s">
        <v>31</v>
      </c>
      <c r="F316" t="s">
        <v>11</v>
      </c>
      <c r="G316" s="75">
        <v>160</v>
      </c>
      <c r="H316" t="s">
        <v>53</v>
      </c>
    </row>
    <row r="317" spans="1:8" x14ac:dyDescent="0.3">
      <c r="A317">
        <v>1</v>
      </c>
      <c r="B317" s="74">
        <v>45596</v>
      </c>
      <c r="C317" t="s">
        <v>88</v>
      </c>
      <c r="D317" t="s">
        <v>82</v>
      </c>
      <c r="E317" t="s">
        <v>36</v>
      </c>
      <c r="F317" t="s">
        <v>11</v>
      </c>
      <c r="G317" s="75">
        <v>400</v>
      </c>
      <c r="H317" t="s">
        <v>53</v>
      </c>
    </row>
    <row r="318" spans="1:8" x14ac:dyDescent="0.3">
      <c r="A318">
        <v>1</v>
      </c>
      <c r="B318" s="74">
        <v>45596</v>
      </c>
      <c r="C318" t="s">
        <v>88</v>
      </c>
      <c r="D318" t="s">
        <v>83</v>
      </c>
      <c r="E318" t="s">
        <v>40</v>
      </c>
      <c r="F318" t="s">
        <v>11</v>
      </c>
      <c r="G318" s="75">
        <v>130</v>
      </c>
      <c r="H318" t="s">
        <v>53</v>
      </c>
    </row>
    <row r="319" spans="1:8" x14ac:dyDescent="0.3">
      <c r="A319">
        <v>1</v>
      </c>
      <c r="B319" s="74">
        <v>45596</v>
      </c>
      <c r="C319" t="s">
        <v>88</v>
      </c>
      <c r="D319" t="s">
        <v>84</v>
      </c>
      <c r="E319" t="s">
        <v>42</v>
      </c>
      <c r="F319" t="s">
        <v>11</v>
      </c>
      <c r="G319" s="75">
        <v>85</v>
      </c>
      <c r="H319" t="s">
        <v>53</v>
      </c>
    </row>
    <row r="320" spans="1:8" x14ac:dyDescent="0.3">
      <c r="A320">
        <v>1</v>
      </c>
      <c r="B320" s="74">
        <v>45596</v>
      </c>
      <c r="C320" t="s">
        <v>88</v>
      </c>
      <c r="D320" t="s">
        <v>86</v>
      </c>
      <c r="E320" t="s">
        <v>45</v>
      </c>
      <c r="F320" t="s">
        <v>11</v>
      </c>
      <c r="G320" s="75">
        <v>120</v>
      </c>
      <c r="H320" t="s">
        <v>53</v>
      </c>
    </row>
    <row r="321" spans="1:8" x14ac:dyDescent="0.3">
      <c r="A321">
        <v>1</v>
      </c>
      <c r="B321" s="74">
        <v>45596</v>
      </c>
      <c r="C321" t="s">
        <v>88</v>
      </c>
      <c r="D321" t="s">
        <v>87</v>
      </c>
      <c r="E321" t="s">
        <v>48</v>
      </c>
      <c r="F321" t="s">
        <v>11</v>
      </c>
      <c r="G321" s="75">
        <v>190</v>
      </c>
      <c r="H321" t="s">
        <v>53</v>
      </c>
    </row>
    <row r="322" spans="1:8" x14ac:dyDescent="0.3">
      <c r="A322">
        <v>1</v>
      </c>
      <c r="B322" s="74">
        <v>45626</v>
      </c>
      <c r="C322" t="s">
        <v>88</v>
      </c>
      <c r="D322" t="s">
        <v>77</v>
      </c>
      <c r="E322" t="s">
        <v>21</v>
      </c>
      <c r="F322" t="s">
        <v>11</v>
      </c>
      <c r="G322" s="75">
        <v>79</v>
      </c>
      <c r="H322" t="s">
        <v>53</v>
      </c>
    </row>
    <row r="323" spans="1:8" x14ac:dyDescent="0.3">
      <c r="A323">
        <v>1</v>
      </c>
      <c r="B323" s="74">
        <v>45626</v>
      </c>
      <c r="C323" t="s">
        <v>88</v>
      </c>
      <c r="D323" t="s">
        <v>78</v>
      </c>
      <c r="E323" t="s">
        <v>23</v>
      </c>
      <c r="F323" t="s">
        <v>11</v>
      </c>
      <c r="G323" s="75">
        <v>210</v>
      </c>
      <c r="H323" t="s">
        <v>53</v>
      </c>
    </row>
    <row r="324" spans="1:8" x14ac:dyDescent="0.3">
      <c r="A324">
        <v>1</v>
      </c>
      <c r="B324" s="74">
        <v>45626</v>
      </c>
      <c r="C324" t="s">
        <v>88</v>
      </c>
      <c r="D324" t="s">
        <v>79</v>
      </c>
      <c r="E324" t="s">
        <v>27</v>
      </c>
      <c r="F324" t="s">
        <v>11</v>
      </c>
      <c r="G324" s="75">
        <v>520</v>
      </c>
      <c r="H324" t="s">
        <v>53</v>
      </c>
    </row>
    <row r="325" spans="1:8" x14ac:dyDescent="0.3">
      <c r="A325">
        <v>1</v>
      </c>
      <c r="B325" s="74">
        <v>45626</v>
      </c>
      <c r="C325" t="s">
        <v>88</v>
      </c>
      <c r="D325" t="s">
        <v>80</v>
      </c>
      <c r="E325" t="s">
        <v>29</v>
      </c>
      <c r="F325" t="s">
        <v>11</v>
      </c>
      <c r="G325" s="75">
        <v>1200</v>
      </c>
      <c r="H325" t="s">
        <v>53</v>
      </c>
    </row>
    <row r="326" spans="1:8" x14ac:dyDescent="0.3">
      <c r="A326">
        <v>1</v>
      </c>
      <c r="B326" s="74">
        <v>45626</v>
      </c>
      <c r="C326" t="s">
        <v>88</v>
      </c>
      <c r="D326" t="s">
        <v>81</v>
      </c>
      <c r="E326" t="s">
        <v>31</v>
      </c>
      <c r="F326" t="s">
        <v>11</v>
      </c>
      <c r="G326" s="75">
        <v>150</v>
      </c>
      <c r="H326" t="s">
        <v>53</v>
      </c>
    </row>
    <row r="327" spans="1:8" x14ac:dyDescent="0.3">
      <c r="A327">
        <v>1</v>
      </c>
      <c r="B327" s="74">
        <v>45626</v>
      </c>
      <c r="C327" t="s">
        <v>88</v>
      </c>
      <c r="D327" t="s">
        <v>82</v>
      </c>
      <c r="E327" t="s">
        <v>36</v>
      </c>
      <c r="F327" t="s">
        <v>11</v>
      </c>
      <c r="G327" s="75">
        <v>400</v>
      </c>
      <c r="H327" t="s">
        <v>53</v>
      </c>
    </row>
    <row r="328" spans="1:8" x14ac:dyDescent="0.3">
      <c r="A328">
        <v>1</v>
      </c>
      <c r="B328" s="74">
        <v>45626</v>
      </c>
      <c r="C328" t="s">
        <v>88</v>
      </c>
      <c r="D328" t="s">
        <v>83</v>
      </c>
      <c r="E328" t="s">
        <v>40</v>
      </c>
      <c r="F328" t="s">
        <v>11</v>
      </c>
      <c r="G328" s="75">
        <v>145</v>
      </c>
      <c r="H328" t="s">
        <v>53</v>
      </c>
    </row>
    <row r="329" spans="1:8" x14ac:dyDescent="0.3">
      <c r="A329">
        <v>1</v>
      </c>
      <c r="B329" s="74">
        <v>45626</v>
      </c>
      <c r="C329" t="s">
        <v>88</v>
      </c>
      <c r="D329" t="s">
        <v>84</v>
      </c>
      <c r="E329" t="s">
        <v>42</v>
      </c>
      <c r="F329" t="s">
        <v>11</v>
      </c>
      <c r="G329" s="75">
        <v>100</v>
      </c>
      <c r="H329" t="s">
        <v>53</v>
      </c>
    </row>
    <row r="330" spans="1:8" x14ac:dyDescent="0.3">
      <c r="A330">
        <v>1</v>
      </c>
      <c r="B330" s="74">
        <v>45626</v>
      </c>
      <c r="C330" t="s">
        <v>88</v>
      </c>
      <c r="D330" t="s">
        <v>86</v>
      </c>
      <c r="E330" t="s">
        <v>45</v>
      </c>
      <c r="F330" t="s">
        <v>11</v>
      </c>
      <c r="G330" s="75">
        <v>115</v>
      </c>
      <c r="H330" t="s">
        <v>53</v>
      </c>
    </row>
    <row r="331" spans="1:8" x14ac:dyDescent="0.3">
      <c r="A331">
        <v>1</v>
      </c>
      <c r="B331" s="74">
        <v>45626</v>
      </c>
      <c r="C331" t="s">
        <v>88</v>
      </c>
      <c r="D331" t="s">
        <v>87</v>
      </c>
      <c r="E331" t="s">
        <v>48</v>
      </c>
      <c r="F331" t="s">
        <v>11</v>
      </c>
      <c r="G331" s="75">
        <v>185</v>
      </c>
      <c r="H331" t="s">
        <v>53</v>
      </c>
    </row>
    <row r="332" spans="1:8" x14ac:dyDescent="0.3">
      <c r="A332">
        <v>1</v>
      </c>
      <c r="B332" s="74">
        <v>45657</v>
      </c>
      <c r="C332" t="s">
        <v>88</v>
      </c>
      <c r="D332" t="s">
        <v>77</v>
      </c>
      <c r="E332" t="s">
        <v>21</v>
      </c>
      <c r="F332" t="s">
        <v>11</v>
      </c>
      <c r="G332" s="75">
        <v>88</v>
      </c>
      <c r="H332" t="s">
        <v>53</v>
      </c>
    </row>
    <row r="333" spans="1:8" x14ac:dyDescent="0.3">
      <c r="A333">
        <v>1</v>
      </c>
      <c r="B333" s="74">
        <v>45657</v>
      </c>
      <c r="C333" t="s">
        <v>88</v>
      </c>
      <c r="D333" t="s">
        <v>78</v>
      </c>
      <c r="E333" t="s">
        <v>23</v>
      </c>
      <c r="F333" t="s">
        <v>11</v>
      </c>
      <c r="G333" s="75">
        <v>240</v>
      </c>
      <c r="H333" t="s">
        <v>53</v>
      </c>
    </row>
    <row r="334" spans="1:8" x14ac:dyDescent="0.3">
      <c r="A334">
        <v>1</v>
      </c>
      <c r="B334" s="74">
        <v>45657</v>
      </c>
      <c r="C334" t="s">
        <v>88</v>
      </c>
      <c r="D334" t="s">
        <v>79</v>
      </c>
      <c r="E334" t="s">
        <v>27</v>
      </c>
      <c r="F334" t="s">
        <v>11</v>
      </c>
      <c r="G334" s="75">
        <v>540</v>
      </c>
      <c r="H334" t="s">
        <v>53</v>
      </c>
    </row>
    <row r="335" spans="1:8" x14ac:dyDescent="0.3">
      <c r="A335">
        <v>1</v>
      </c>
      <c r="B335" s="74">
        <v>45657</v>
      </c>
      <c r="C335" t="s">
        <v>88</v>
      </c>
      <c r="D335" t="s">
        <v>80</v>
      </c>
      <c r="E335" t="s">
        <v>29</v>
      </c>
      <c r="F335" t="s">
        <v>11</v>
      </c>
      <c r="G335" s="75">
        <v>1200</v>
      </c>
      <c r="H335" t="s">
        <v>53</v>
      </c>
    </row>
    <row r="336" spans="1:8" x14ac:dyDescent="0.3">
      <c r="A336">
        <v>1</v>
      </c>
      <c r="B336" s="74">
        <v>45657</v>
      </c>
      <c r="C336" t="s">
        <v>88</v>
      </c>
      <c r="D336" t="s">
        <v>81</v>
      </c>
      <c r="E336" t="s">
        <v>31</v>
      </c>
      <c r="F336" t="s">
        <v>11</v>
      </c>
      <c r="G336" s="75">
        <v>155</v>
      </c>
      <c r="H336" t="s">
        <v>53</v>
      </c>
    </row>
    <row r="337" spans="1:8" x14ac:dyDescent="0.3">
      <c r="A337">
        <v>1</v>
      </c>
      <c r="B337" s="74">
        <v>45657</v>
      </c>
      <c r="C337" t="s">
        <v>88</v>
      </c>
      <c r="D337" t="s">
        <v>82</v>
      </c>
      <c r="E337" t="s">
        <v>36</v>
      </c>
      <c r="F337" t="s">
        <v>11</v>
      </c>
      <c r="G337" s="75">
        <v>400</v>
      </c>
      <c r="H337" t="s">
        <v>53</v>
      </c>
    </row>
    <row r="338" spans="1:8" x14ac:dyDescent="0.3">
      <c r="A338">
        <v>1</v>
      </c>
      <c r="B338" s="74">
        <v>45657</v>
      </c>
      <c r="C338" t="s">
        <v>88</v>
      </c>
      <c r="D338" t="s">
        <v>83</v>
      </c>
      <c r="E338" t="s">
        <v>40</v>
      </c>
      <c r="F338" t="s">
        <v>11</v>
      </c>
      <c r="G338" s="75">
        <v>150</v>
      </c>
      <c r="H338" t="s">
        <v>53</v>
      </c>
    </row>
    <row r="339" spans="1:8" x14ac:dyDescent="0.3">
      <c r="A339">
        <v>1</v>
      </c>
      <c r="B339" s="74">
        <v>45657</v>
      </c>
      <c r="C339" t="s">
        <v>88</v>
      </c>
      <c r="D339" t="s">
        <v>84</v>
      </c>
      <c r="E339" t="s">
        <v>42</v>
      </c>
      <c r="F339" t="s">
        <v>11</v>
      </c>
      <c r="G339" s="75">
        <v>95</v>
      </c>
      <c r="H339" t="s">
        <v>53</v>
      </c>
    </row>
    <row r="340" spans="1:8" x14ac:dyDescent="0.3">
      <c r="A340">
        <v>1</v>
      </c>
      <c r="B340" s="74">
        <v>45322</v>
      </c>
      <c r="C340" t="s">
        <v>19</v>
      </c>
      <c r="D340" t="s">
        <v>77</v>
      </c>
      <c r="E340" t="s">
        <v>21</v>
      </c>
      <c r="F340" t="s">
        <v>11</v>
      </c>
      <c r="G340" s="76">
        <v>19.5</v>
      </c>
      <c r="H340" t="s">
        <v>12</v>
      </c>
    </row>
    <row r="341" spans="1:8" x14ac:dyDescent="0.3">
      <c r="A341">
        <v>1</v>
      </c>
      <c r="B341" s="74">
        <v>45322</v>
      </c>
      <c r="C341" t="s">
        <v>19</v>
      </c>
      <c r="D341" t="s">
        <v>78</v>
      </c>
      <c r="E341" t="s">
        <v>23</v>
      </c>
      <c r="F341" t="s">
        <v>11</v>
      </c>
      <c r="G341" s="76">
        <v>72.8</v>
      </c>
      <c r="H341" t="s">
        <v>12</v>
      </c>
    </row>
    <row r="342" spans="1:8" x14ac:dyDescent="0.3">
      <c r="A342">
        <v>1</v>
      </c>
      <c r="B342" s="74">
        <v>45322</v>
      </c>
      <c r="C342" t="s">
        <v>19</v>
      </c>
      <c r="D342" t="s">
        <v>79</v>
      </c>
      <c r="E342" t="s">
        <v>27</v>
      </c>
      <c r="F342" t="s">
        <v>11</v>
      </c>
      <c r="G342" s="76">
        <v>128</v>
      </c>
      <c r="H342" t="s">
        <v>12</v>
      </c>
    </row>
    <row r="343" spans="1:8" x14ac:dyDescent="0.3">
      <c r="A343">
        <v>1</v>
      </c>
      <c r="B343" s="74">
        <v>45322</v>
      </c>
      <c r="C343" t="s">
        <v>19</v>
      </c>
      <c r="D343" t="s">
        <v>80</v>
      </c>
      <c r="E343" t="s">
        <v>29</v>
      </c>
      <c r="F343" t="s">
        <v>11</v>
      </c>
      <c r="G343" s="76">
        <v>276.5</v>
      </c>
      <c r="H343" t="s">
        <v>12</v>
      </c>
    </row>
    <row r="344" spans="1:8" x14ac:dyDescent="0.3">
      <c r="A344">
        <v>1</v>
      </c>
      <c r="B344" s="74">
        <v>45322</v>
      </c>
      <c r="C344" t="s">
        <v>19</v>
      </c>
      <c r="D344" t="s">
        <v>81</v>
      </c>
      <c r="E344" t="s">
        <v>31</v>
      </c>
      <c r="F344" t="s">
        <v>11</v>
      </c>
      <c r="G344" s="76">
        <v>48.3</v>
      </c>
      <c r="H344" t="s">
        <v>12</v>
      </c>
    </row>
    <row r="345" spans="1:8" x14ac:dyDescent="0.3">
      <c r="A345">
        <v>1</v>
      </c>
      <c r="B345" s="74">
        <v>45322</v>
      </c>
      <c r="C345" t="s">
        <v>19</v>
      </c>
      <c r="D345" t="s">
        <v>82</v>
      </c>
      <c r="E345" t="s">
        <v>36</v>
      </c>
      <c r="F345" t="s">
        <v>11</v>
      </c>
      <c r="G345" s="76">
        <v>163.88</v>
      </c>
      <c r="H345" t="s">
        <v>12</v>
      </c>
    </row>
    <row r="346" spans="1:8" x14ac:dyDescent="0.3">
      <c r="A346">
        <v>1</v>
      </c>
      <c r="B346" s="74">
        <v>45322</v>
      </c>
      <c r="C346" t="s">
        <v>19</v>
      </c>
      <c r="D346" t="s">
        <v>83</v>
      </c>
      <c r="E346" t="s">
        <v>40</v>
      </c>
      <c r="F346" t="s">
        <v>11</v>
      </c>
      <c r="G346" s="76">
        <v>42</v>
      </c>
      <c r="H346" t="s">
        <v>12</v>
      </c>
    </row>
    <row r="347" spans="1:8" x14ac:dyDescent="0.3">
      <c r="A347">
        <v>1</v>
      </c>
      <c r="B347" s="74">
        <v>45322</v>
      </c>
      <c r="C347" t="s">
        <v>19</v>
      </c>
      <c r="D347" t="s">
        <v>84</v>
      </c>
      <c r="E347" t="s">
        <v>42</v>
      </c>
      <c r="F347" t="s">
        <v>11</v>
      </c>
      <c r="G347" s="76">
        <v>18</v>
      </c>
      <c r="H347" t="s">
        <v>12</v>
      </c>
    </row>
    <row r="348" spans="1:8" x14ac:dyDescent="0.3">
      <c r="A348">
        <v>1</v>
      </c>
      <c r="B348" s="74">
        <v>45322</v>
      </c>
      <c r="C348" t="s">
        <v>19</v>
      </c>
      <c r="D348" t="s">
        <v>86</v>
      </c>
      <c r="E348" t="s">
        <v>45</v>
      </c>
      <c r="F348" t="s">
        <v>11</v>
      </c>
      <c r="G348" s="76">
        <v>21.8</v>
      </c>
      <c r="H348" t="s">
        <v>12</v>
      </c>
    </row>
    <row r="349" spans="1:8" x14ac:dyDescent="0.3">
      <c r="A349">
        <v>1</v>
      </c>
      <c r="B349" s="74">
        <v>45322</v>
      </c>
      <c r="C349" t="s">
        <v>19</v>
      </c>
      <c r="D349" t="s">
        <v>87</v>
      </c>
      <c r="E349" t="s">
        <v>48</v>
      </c>
      <c r="F349" t="s">
        <v>11</v>
      </c>
      <c r="G349" s="76">
        <v>85</v>
      </c>
      <c r="H349" t="s">
        <v>12</v>
      </c>
    </row>
    <row r="350" spans="1:8" x14ac:dyDescent="0.3">
      <c r="A350">
        <v>1</v>
      </c>
      <c r="B350" s="74">
        <v>45351</v>
      </c>
      <c r="C350" t="s">
        <v>19</v>
      </c>
      <c r="D350" t="s">
        <v>77</v>
      </c>
      <c r="E350" t="s">
        <v>21</v>
      </c>
      <c r="F350" t="s">
        <v>11</v>
      </c>
      <c r="G350" s="76">
        <v>21</v>
      </c>
      <c r="H350" t="s">
        <v>12</v>
      </c>
    </row>
    <row r="351" spans="1:8" x14ac:dyDescent="0.3">
      <c r="A351">
        <v>1</v>
      </c>
      <c r="B351" s="74">
        <v>45351</v>
      </c>
      <c r="C351" t="s">
        <v>19</v>
      </c>
      <c r="D351" t="s">
        <v>78</v>
      </c>
      <c r="E351" t="s">
        <v>23</v>
      </c>
      <c r="F351" t="s">
        <v>11</v>
      </c>
      <c r="G351" s="76">
        <v>65</v>
      </c>
      <c r="H351" t="s">
        <v>12</v>
      </c>
    </row>
    <row r="352" spans="1:8" x14ac:dyDescent="0.3">
      <c r="A352">
        <v>1</v>
      </c>
      <c r="B352" s="74">
        <v>45351</v>
      </c>
      <c r="C352" t="s">
        <v>19</v>
      </c>
      <c r="D352" t="s">
        <v>79</v>
      </c>
      <c r="E352" t="s">
        <v>27</v>
      </c>
      <c r="F352" t="s">
        <v>11</v>
      </c>
      <c r="G352" s="76">
        <v>122.4</v>
      </c>
      <c r="H352" t="s">
        <v>12</v>
      </c>
    </row>
    <row r="353" spans="1:8" x14ac:dyDescent="0.3">
      <c r="A353">
        <v>1</v>
      </c>
      <c r="B353" s="74">
        <v>45351</v>
      </c>
      <c r="C353" t="s">
        <v>19</v>
      </c>
      <c r="D353" t="s">
        <v>80</v>
      </c>
      <c r="E353" t="s">
        <v>29</v>
      </c>
      <c r="F353" t="s">
        <v>11</v>
      </c>
      <c r="G353" s="76">
        <v>276.5</v>
      </c>
      <c r="H353" t="s">
        <v>12</v>
      </c>
    </row>
    <row r="354" spans="1:8" x14ac:dyDescent="0.3">
      <c r="A354">
        <v>1</v>
      </c>
      <c r="B354" s="74">
        <v>45351</v>
      </c>
      <c r="C354" t="s">
        <v>19</v>
      </c>
      <c r="D354" t="s">
        <v>81</v>
      </c>
      <c r="E354" t="s">
        <v>31</v>
      </c>
      <c r="F354" t="s">
        <v>11</v>
      </c>
      <c r="G354" s="76">
        <v>42.8</v>
      </c>
      <c r="H354" t="s">
        <v>12</v>
      </c>
    </row>
    <row r="355" spans="1:8" x14ac:dyDescent="0.3">
      <c r="A355">
        <v>1</v>
      </c>
      <c r="B355" s="74">
        <v>45351</v>
      </c>
      <c r="C355" t="s">
        <v>19</v>
      </c>
      <c r="D355" t="s">
        <v>82</v>
      </c>
      <c r="E355" t="s">
        <v>36</v>
      </c>
      <c r="F355" t="s">
        <v>11</v>
      </c>
      <c r="G355" s="76">
        <v>163.88</v>
      </c>
      <c r="H355" t="s">
        <v>12</v>
      </c>
    </row>
    <row r="356" spans="1:8" x14ac:dyDescent="0.3">
      <c r="A356">
        <v>1</v>
      </c>
      <c r="B356" s="74">
        <v>45351</v>
      </c>
      <c r="C356" t="s">
        <v>19</v>
      </c>
      <c r="D356" t="s">
        <v>83</v>
      </c>
      <c r="E356" t="s">
        <v>40</v>
      </c>
      <c r="F356" t="s">
        <v>11</v>
      </c>
      <c r="G356" s="76">
        <v>46</v>
      </c>
      <c r="H356" t="s">
        <v>12</v>
      </c>
    </row>
    <row r="357" spans="1:8" x14ac:dyDescent="0.3">
      <c r="A357">
        <v>1</v>
      </c>
      <c r="B357" s="74">
        <v>45351</v>
      </c>
      <c r="C357" t="s">
        <v>19</v>
      </c>
      <c r="D357" t="s">
        <v>84</v>
      </c>
      <c r="E357" t="s">
        <v>42</v>
      </c>
      <c r="F357" t="s">
        <v>11</v>
      </c>
      <c r="G357" s="76">
        <v>16</v>
      </c>
      <c r="H357" t="s">
        <v>12</v>
      </c>
    </row>
    <row r="358" spans="1:8" x14ac:dyDescent="0.3">
      <c r="A358">
        <v>1</v>
      </c>
      <c r="B358" s="74">
        <v>45351</v>
      </c>
      <c r="C358" t="s">
        <v>19</v>
      </c>
      <c r="D358" t="s">
        <v>86</v>
      </c>
      <c r="E358" t="s">
        <v>45</v>
      </c>
      <c r="F358" t="s">
        <v>11</v>
      </c>
      <c r="G358" s="76">
        <v>22</v>
      </c>
      <c r="H358" t="s">
        <v>12</v>
      </c>
    </row>
    <row r="359" spans="1:8" x14ac:dyDescent="0.3">
      <c r="A359">
        <v>1</v>
      </c>
      <c r="B359" s="74">
        <v>45351</v>
      </c>
      <c r="C359" t="s">
        <v>19</v>
      </c>
      <c r="D359" t="s">
        <v>87</v>
      </c>
      <c r="E359" t="s">
        <v>48</v>
      </c>
      <c r="F359" t="s">
        <v>11</v>
      </c>
      <c r="G359" s="76">
        <v>75</v>
      </c>
      <c r="H359" t="s">
        <v>12</v>
      </c>
    </row>
    <row r="360" spans="1:8" x14ac:dyDescent="0.3">
      <c r="A360">
        <v>1</v>
      </c>
      <c r="B360" s="74">
        <v>45382</v>
      </c>
      <c r="C360" t="s">
        <v>19</v>
      </c>
      <c r="D360" t="s">
        <v>77</v>
      </c>
      <c r="E360" t="s">
        <v>21</v>
      </c>
      <c r="F360" t="s">
        <v>11</v>
      </c>
      <c r="G360" s="76">
        <v>18.8</v>
      </c>
      <c r="H360" t="s">
        <v>12</v>
      </c>
    </row>
    <row r="361" spans="1:8" x14ac:dyDescent="0.3">
      <c r="A361">
        <v>1</v>
      </c>
      <c r="B361" s="74">
        <v>45382</v>
      </c>
      <c r="C361" t="s">
        <v>19</v>
      </c>
      <c r="D361" t="s">
        <v>78</v>
      </c>
      <c r="E361" t="s">
        <v>23</v>
      </c>
      <c r="F361" t="s">
        <v>11</v>
      </c>
      <c r="G361" s="76">
        <v>83</v>
      </c>
      <c r="H361" t="s">
        <v>12</v>
      </c>
    </row>
    <row r="362" spans="1:8" x14ac:dyDescent="0.3">
      <c r="A362">
        <v>1</v>
      </c>
      <c r="B362" s="74">
        <v>45382</v>
      </c>
      <c r="C362" t="s">
        <v>19</v>
      </c>
      <c r="D362" t="s">
        <v>79</v>
      </c>
      <c r="E362" t="s">
        <v>27</v>
      </c>
      <c r="F362" t="s">
        <v>11</v>
      </c>
      <c r="G362" s="76">
        <v>136.5</v>
      </c>
      <c r="H362" t="s">
        <v>12</v>
      </c>
    </row>
    <row r="363" spans="1:8" x14ac:dyDescent="0.3">
      <c r="A363">
        <v>1</v>
      </c>
      <c r="B363" s="74">
        <v>45382</v>
      </c>
      <c r="C363" t="s">
        <v>19</v>
      </c>
      <c r="D363" t="s">
        <v>80</v>
      </c>
      <c r="E363" t="s">
        <v>29</v>
      </c>
      <c r="F363" t="s">
        <v>11</v>
      </c>
      <c r="G363" s="76">
        <v>276.5</v>
      </c>
      <c r="H363" t="s">
        <v>12</v>
      </c>
    </row>
    <row r="364" spans="1:8" x14ac:dyDescent="0.3">
      <c r="A364">
        <v>1</v>
      </c>
      <c r="B364" s="74">
        <v>45382</v>
      </c>
      <c r="C364" t="s">
        <v>19</v>
      </c>
      <c r="D364" t="s">
        <v>81</v>
      </c>
      <c r="E364" t="s">
        <v>31</v>
      </c>
      <c r="F364" t="s">
        <v>11</v>
      </c>
      <c r="G364" s="76">
        <v>46</v>
      </c>
      <c r="H364" t="s">
        <v>12</v>
      </c>
    </row>
    <row r="365" spans="1:8" x14ac:dyDescent="0.3">
      <c r="A365">
        <v>1</v>
      </c>
      <c r="B365" s="74">
        <v>45382</v>
      </c>
      <c r="C365" t="s">
        <v>19</v>
      </c>
      <c r="D365" t="s">
        <v>82</v>
      </c>
      <c r="E365" t="s">
        <v>36</v>
      </c>
      <c r="F365" t="s">
        <v>11</v>
      </c>
      <c r="G365" s="76">
        <v>163.88</v>
      </c>
      <c r="H365" t="s">
        <v>12</v>
      </c>
    </row>
    <row r="366" spans="1:8" x14ac:dyDescent="0.3">
      <c r="A366">
        <v>1</v>
      </c>
      <c r="B366" s="74">
        <v>45382</v>
      </c>
      <c r="C366" t="s">
        <v>19</v>
      </c>
      <c r="D366" t="s">
        <v>83</v>
      </c>
      <c r="E366" t="s">
        <v>40</v>
      </c>
      <c r="F366" t="s">
        <v>11</v>
      </c>
      <c r="G366" s="76">
        <v>50</v>
      </c>
      <c r="H366" t="s">
        <v>12</v>
      </c>
    </row>
    <row r="367" spans="1:8" x14ac:dyDescent="0.3">
      <c r="A367">
        <v>1</v>
      </c>
      <c r="B367" s="74">
        <v>45382</v>
      </c>
      <c r="C367" t="s">
        <v>19</v>
      </c>
      <c r="D367" t="s">
        <v>84</v>
      </c>
      <c r="E367" t="s">
        <v>42</v>
      </c>
      <c r="F367" t="s">
        <v>11</v>
      </c>
      <c r="G367" s="76">
        <v>25</v>
      </c>
      <c r="H367" t="s">
        <v>12</v>
      </c>
    </row>
    <row r="368" spans="1:8" x14ac:dyDescent="0.3">
      <c r="A368">
        <v>1</v>
      </c>
      <c r="B368" s="74">
        <v>45382</v>
      </c>
      <c r="C368" t="s">
        <v>19</v>
      </c>
      <c r="D368" t="s">
        <v>86</v>
      </c>
      <c r="E368" t="s">
        <v>45</v>
      </c>
      <c r="F368" t="s">
        <v>11</v>
      </c>
      <c r="G368" s="76">
        <v>24</v>
      </c>
      <c r="H368" t="s">
        <v>12</v>
      </c>
    </row>
    <row r="369" spans="1:8" x14ac:dyDescent="0.3">
      <c r="A369">
        <v>1</v>
      </c>
      <c r="B369" s="74">
        <v>45382</v>
      </c>
      <c r="C369" t="s">
        <v>19</v>
      </c>
      <c r="D369" t="s">
        <v>87</v>
      </c>
      <c r="E369" t="s">
        <v>48</v>
      </c>
      <c r="F369" t="s">
        <v>11</v>
      </c>
      <c r="G369" s="76">
        <v>85</v>
      </c>
      <c r="H369" t="s">
        <v>12</v>
      </c>
    </row>
    <row r="370" spans="1:8" x14ac:dyDescent="0.3">
      <c r="A370">
        <v>1</v>
      </c>
      <c r="B370" s="74">
        <v>45412</v>
      </c>
      <c r="C370" t="s">
        <v>19</v>
      </c>
      <c r="D370" t="s">
        <v>77</v>
      </c>
      <c r="E370" t="s">
        <v>21</v>
      </c>
      <c r="F370" t="s">
        <v>11</v>
      </c>
      <c r="G370" s="76">
        <v>20.5</v>
      </c>
      <c r="H370" t="s">
        <v>12</v>
      </c>
    </row>
    <row r="371" spans="1:8" x14ac:dyDescent="0.3">
      <c r="A371">
        <v>1</v>
      </c>
      <c r="B371" s="74">
        <v>45412</v>
      </c>
      <c r="C371" t="s">
        <v>19</v>
      </c>
      <c r="D371" t="s">
        <v>78</v>
      </c>
      <c r="E371" t="s">
        <v>23</v>
      </c>
      <c r="F371" t="s">
        <v>11</v>
      </c>
      <c r="G371" s="76">
        <v>59</v>
      </c>
      <c r="H371" t="s">
        <v>12</v>
      </c>
    </row>
    <row r="372" spans="1:8" x14ac:dyDescent="0.3">
      <c r="A372">
        <v>1</v>
      </c>
      <c r="B372" s="74">
        <v>45412</v>
      </c>
      <c r="C372" t="s">
        <v>19</v>
      </c>
      <c r="D372" t="s">
        <v>79</v>
      </c>
      <c r="E372" t="s">
        <v>27</v>
      </c>
      <c r="F372" t="s">
        <v>11</v>
      </c>
      <c r="G372" s="76">
        <v>140</v>
      </c>
      <c r="H372" t="s">
        <v>12</v>
      </c>
    </row>
    <row r="373" spans="1:8" x14ac:dyDescent="0.3">
      <c r="A373">
        <v>1</v>
      </c>
      <c r="B373" s="74">
        <v>45412</v>
      </c>
      <c r="C373" t="s">
        <v>19</v>
      </c>
      <c r="D373" t="s">
        <v>80</v>
      </c>
      <c r="E373" t="s">
        <v>29</v>
      </c>
      <c r="F373" t="s">
        <v>11</v>
      </c>
      <c r="G373" s="76">
        <v>276.5</v>
      </c>
      <c r="H373" t="s">
        <v>12</v>
      </c>
    </row>
    <row r="374" spans="1:8" x14ac:dyDescent="0.3">
      <c r="A374">
        <v>1</v>
      </c>
      <c r="B374" s="74">
        <v>45412</v>
      </c>
      <c r="C374" t="s">
        <v>19</v>
      </c>
      <c r="D374" t="s">
        <v>81</v>
      </c>
      <c r="E374" t="s">
        <v>31</v>
      </c>
      <c r="F374" t="s">
        <v>11</v>
      </c>
      <c r="G374" s="76">
        <v>43.9</v>
      </c>
      <c r="H374" t="s">
        <v>12</v>
      </c>
    </row>
    <row r="375" spans="1:8" x14ac:dyDescent="0.3">
      <c r="A375">
        <v>1</v>
      </c>
      <c r="B375" s="74">
        <v>45412</v>
      </c>
      <c r="C375" t="s">
        <v>19</v>
      </c>
      <c r="D375" t="s">
        <v>82</v>
      </c>
      <c r="E375" t="s">
        <v>36</v>
      </c>
      <c r="F375" t="s">
        <v>11</v>
      </c>
      <c r="G375" s="76">
        <v>163.88</v>
      </c>
      <c r="H375" t="s">
        <v>12</v>
      </c>
    </row>
    <row r="376" spans="1:8" x14ac:dyDescent="0.3">
      <c r="A376">
        <v>1</v>
      </c>
      <c r="B376" s="74">
        <v>45412</v>
      </c>
      <c r="C376" t="s">
        <v>19</v>
      </c>
      <c r="D376" t="s">
        <v>83</v>
      </c>
      <c r="E376" t="s">
        <v>40</v>
      </c>
      <c r="F376" t="s">
        <v>11</v>
      </c>
      <c r="G376" s="76">
        <v>48</v>
      </c>
      <c r="H376" t="s">
        <v>12</v>
      </c>
    </row>
    <row r="377" spans="1:8" x14ac:dyDescent="0.3">
      <c r="A377">
        <v>1</v>
      </c>
      <c r="B377" s="74">
        <v>45412</v>
      </c>
      <c r="C377" t="s">
        <v>19</v>
      </c>
      <c r="D377" t="s">
        <v>84</v>
      </c>
      <c r="E377" t="s">
        <v>42</v>
      </c>
      <c r="F377" t="s">
        <v>11</v>
      </c>
      <c r="G377" s="76">
        <v>27</v>
      </c>
      <c r="H377" t="s">
        <v>12</v>
      </c>
    </row>
    <row r="378" spans="1:8" x14ac:dyDescent="0.3">
      <c r="A378">
        <v>1</v>
      </c>
      <c r="B378" s="74">
        <v>45412</v>
      </c>
      <c r="C378" t="s">
        <v>19</v>
      </c>
      <c r="D378" t="s">
        <v>86</v>
      </c>
      <c r="E378" t="s">
        <v>45</v>
      </c>
      <c r="F378" t="s">
        <v>11</v>
      </c>
      <c r="G378" s="76">
        <v>23</v>
      </c>
      <c r="H378" t="s">
        <v>12</v>
      </c>
    </row>
    <row r="379" spans="1:8" x14ac:dyDescent="0.3">
      <c r="A379">
        <v>1</v>
      </c>
      <c r="B379" s="74">
        <v>45412</v>
      </c>
      <c r="C379" t="s">
        <v>19</v>
      </c>
      <c r="D379" t="s">
        <v>87</v>
      </c>
      <c r="E379" t="s">
        <v>48</v>
      </c>
      <c r="F379" t="s">
        <v>11</v>
      </c>
      <c r="G379" s="76">
        <v>90</v>
      </c>
      <c r="H379" t="s">
        <v>12</v>
      </c>
    </row>
    <row r="380" spans="1:8" x14ac:dyDescent="0.3">
      <c r="A380">
        <v>1</v>
      </c>
      <c r="B380" s="74">
        <v>45443</v>
      </c>
      <c r="C380" t="s">
        <v>19</v>
      </c>
      <c r="D380" t="s">
        <v>77</v>
      </c>
      <c r="E380" t="s">
        <v>21</v>
      </c>
      <c r="F380" t="s">
        <v>11</v>
      </c>
      <c r="G380" s="76">
        <v>22</v>
      </c>
      <c r="H380" t="s">
        <v>12</v>
      </c>
    </row>
    <row r="381" spans="1:8" x14ac:dyDescent="0.3">
      <c r="A381">
        <v>1</v>
      </c>
      <c r="B381" s="74">
        <v>45443</v>
      </c>
      <c r="C381" t="s">
        <v>19</v>
      </c>
      <c r="D381" t="s">
        <v>78</v>
      </c>
      <c r="E381" t="s">
        <v>23</v>
      </c>
      <c r="F381" t="s">
        <v>11</v>
      </c>
      <c r="G381" s="76">
        <v>110</v>
      </c>
      <c r="H381" t="s">
        <v>12</v>
      </c>
    </row>
    <row r="382" spans="1:8" x14ac:dyDescent="0.3">
      <c r="A382">
        <v>1</v>
      </c>
      <c r="B382" s="74">
        <v>45443</v>
      </c>
      <c r="C382" t="s">
        <v>19</v>
      </c>
      <c r="D382" t="s">
        <v>79</v>
      </c>
      <c r="E382" t="s">
        <v>27</v>
      </c>
      <c r="F382" t="s">
        <v>11</v>
      </c>
      <c r="G382" s="76">
        <v>132</v>
      </c>
      <c r="H382" t="s">
        <v>12</v>
      </c>
    </row>
    <row r="383" spans="1:8" x14ac:dyDescent="0.3">
      <c r="A383">
        <v>1</v>
      </c>
      <c r="B383" s="74">
        <v>45443</v>
      </c>
      <c r="C383" t="s">
        <v>19</v>
      </c>
      <c r="D383" t="s">
        <v>80</v>
      </c>
      <c r="E383" t="s">
        <v>29</v>
      </c>
      <c r="F383" t="s">
        <v>11</v>
      </c>
      <c r="G383" s="76">
        <v>276.5</v>
      </c>
      <c r="H383" t="s">
        <v>12</v>
      </c>
    </row>
    <row r="384" spans="1:8" x14ac:dyDescent="0.3">
      <c r="A384">
        <v>1</v>
      </c>
      <c r="B384" s="74">
        <v>45443</v>
      </c>
      <c r="C384" t="s">
        <v>19</v>
      </c>
      <c r="D384" t="s">
        <v>81</v>
      </c>
      <c r="E384" t="s">
        <v>31</v>
      </c>
      <c r="F384" t="s">
        <v>11</v>
      </c>
      <c r="G384" s="76">
        <v>44</v>
      </c>
      <c r="H384" t="s">
        <v>12</v>
      </c>
    </row>
    <row r="385" spans="1:8" x14ac:dyDescent="0.3">
      <c r="A385">
        <v>1</v>
      </c>
      <c r="B385" s="74">
        <v>45443</v>
      </c>
      <c r="C385" t="s">
        <v>19</v>
      </c>
      <c r="D385" t="s">
        <v>82</v>
      </c>
      <c r="E385" t="s">
        <v>36</v>
      </c>
      <c r="F385" t="s">
        <v>11</v>
      </c>
      <c r="G385" s="76">
        <v>163.88</v>
      </c>
      <c r="H385" t="s">
        <v>12</v>
      </c>
    </row>
    <row r="386" spans="1:8" x14ac:dyDescent="0.3">
      <c r="A386">
        <v>1</v>
      </c>
      <c r="B386" s="74">
        <v>45443</v>
      </c>
      <c r="C386" t="s">
        <v>19</v>
      </c>
      <c r="D386" t="s">
        <v>83</v>
      </c>
      <c r="E386" t="s">
        <v>40</v>
      </c>
      <c r="F386" t="s">
        <v>11</v>
      </c>
      <c r="G386" s="76">
        <v>52</v>
      </c>
      <c r="H386" t="s">
        <v>12</v>
      </c>
    </row>
    <row r="387" spans="1:8" x14ac:dyDescent="0.3">
      <c r="A387">
        <v>1</v>
      </c>
      <c r="B387" s="74">
        <v>45443</v>
      </c>
      <c r="C387" t="s">
        <v>19</v>
      </c>
      <c r="D387" t="s">
        <v>84</v>
      </c>
      <c r="E387" t="s">
        <v>42</v>
      </c>
      <c r="F387" t="s">
        <v>11</v>
      </c>
      <c r="G387" s="76">
        <v>24</v>
      </c>
      <c r="H387" t="s">
        <v>12</v>
      </c>
    </row>
    <row r="388" spans="1:8" x14ac:dyDescent="0.3">
      <c r="A388">
        <v>1</v>
      </c>
      <c r="B388" s="74">
        <v>45443</v>
      </c>
      <c r="C388" t="s">
        <v>19</v>
      </c>
      <c r="D388" t="s">
        <v>86</v>
      </c>
      <c r="E388" t="s">
        <v>45</v>
      </c>
      <c r="F388" t="s">
        <v>11</v>
      </c>
      <c r="G388" s="76">
        <v>27</v>
      </c>
      <c r="H388" t="s">
        <v>12</v>
      </c>
    </row>
    <row r="389" spans="1:8" x14ac:dyDescent="0.3">
      <c r="A389">
        <v>1</v>
      </c>
      <c r="B389" s="74">
        <v>45443</v>
      </c>
      <c r="C389" t="s">
        <v>19</v>
      </c>
      <c r="D389" t="s">
        <v>87</v>
      </c>
      <c r="E389" t="s">
        <v>48</v>
      </c>
      <c r="F389" t="s">
        <v>11</v>
      </c>
      <c r="G389" s="76">
        <v>95</v>
      </c>
      <c r="H389" t="s">
        <v>12</v>
      </c>
    </row>
    <row r="390" spans="1:8" x14ac:dyDescent="0.3">
      <c r="A390">
        <v>1</v>
      </c>
      <c r="B390" s="74">
        <v>45473</v>
      </c>
      <c r="C390" t="s">
        <v>19</v>
      </c>
      <c r="D390" t="s">
        <v>77</v>
      </c>
      <c r="E390" t="s">
        <v>21</v>
      </c>
      <c r="F390" t="s">
        <v>11</v>
      </c>
      <c r="G390" s="76">
        <v>19.5</v>
      </c>
      <c r="H390" t="s">
        <v>12</v>
      </c>
    </row>
    <row r="391" spans="1:8" x14ac:dyDescent="0.3">
      <c r="A391">
        <v>1</v>
      </c>
      <c r="B391" s="74">
        <v>45473</v>
      </c>
      <c r="C391" t="s">
        <v>19</v>
      </c>
      <c r="D391" t="s">
        <v>78</v>
      </c>
      <c r="E391" t="s">
        <v>23</v>
      </c>
      <c r="F391" t="s">
        <v>11</v>
      </c>
      <c r="G391" s="76">
        <v>70</v>
      </c>
      <c r="H391" t="s">
        <v>12</v>
      </c>
    </row>
    <row r="392" spans="1:8" x14ac:dyDescent="0.3">
      <c r="A392">
        <v>1</v>
      </c>
      <c r="B392" s="74">
        <v>45473</v>
      </c>
      <c r="C392" t="s">
        <v>19</v>
      </c>
      <c r="D392" t="s">
        <v>79</v>
      </c>
      <c r="E392" t="s">
        <v>27</v>
      </c>
      <c r="F392" t="s">
        <v>11</v>
      </c>
      <c r="G392" s="76">
        <v>125</v>
      </c>
      <c r="H392" t="s">
        <v>12</v>
      </c>
    </row>
    <row r="393" spans="1:8" x14ac:dyDescent="0.3">
      <c r="A393">
        <v>1</v>
      </c>
      <c r="B393" s="74">
        <v>45473</v>
      </c>
      <c r="C393" t="s">
        <v>19</v>
      </c>
      <c r="D393" t="s">
        <v>80</v>
      </c>
      <c r="E393" t="s">
        <v>29</v>
      </c>
      <c r="F393" t="s">
        <v>11</v>
      </c>
      <c r="G393" s="76">
        <v>276.5</v>
      </c>
      <c r="H393" t="s">
        <v>12</v>
      </c>
    </row>
    <row r="394" spans="1:8" x14ac:dyDescent="0.3">
      <c r="A394">
        <v>1</v>
      </c>
      <c r="B394" s="74">
        <v>45473</v>
      </c>
      <c r="C394" t="s">
        <v>19</v>
      </c>
      <c r="D394" t="s">
        <v>81</v>
      </c>
      <c r="E394" t="s">
        <v>31</v>
      </c>
      <c r="F394" t="s">
        <v>11</v>
      </c>
      <c r="G394" s="76">
        <v>40</v>
      </c>
      <c r="H394" t="s">
        <v>12</v>
      </c>
    </row>
    <row r="395" spans="1:8" x14ac:dyDescent="0.3">
      <c r="A395">
        <v>1</v>
      </c>
      <c r="B395" s="74">
        <v>45473</v>
      </c>
      <c r="C395" t="s">
        <v>19</v>
      </c>
      <c r="D395" t="s">
        <v>82</v>
      </c>
      <c r="E395" t="s">
        <v>36</v>
      </c>
      <c r="F395" t="s">
        <v>11</v>
      </c>
      <c r="G395" s="76">
        <v>163.88</v>
      </c>
      <c r="H395" t="s">
        <v>12</v>
      </c>
    </row>
    <row r="396" spans="1:8" x14ac:dyDescent="0.3">
      <c r="A396">
        <v>1</v>
      </c>
      <c r="B396" s="74">
        <v>45473</v>
      </c>
      <c r="C396" t="s">
        <v>19</v>
      </c>
      <c r="D396" t="s">
        <v>83</v>
      </c>
      <c r="E396" t="s">
        <v>40</v>
      </c>
      <c r="F396" t="s">
        <v>11</v>
      </c>
      <c r="G396" s="76">
        <v>46</v>
      </c>
      <c r="H396" t="s">
        <v>12</v>
      </c>
    </row>
    <row r="397" spans="1:8" x14ac:dyDescent="0.3">
      <c r="A397">
        <v>1</v>
      </c>
      <c r="B397" s="74">
        <v>45473</v>
      </c>
      <c r="C397" t="s">
        <v>19</v>
      </c>
      <c r="D397" t="s">
        <v>84</v>
      </c>
      <c r="E397" t="s">
        <v>42</v>
      </c>
      <c r="F397" t="s">
        <v>11</v>
      </c>
      <c r="G397" s="76">
        <v>29</v>
      </c>
      <c r="H397" t="s">
        <v>12</v>
      </c>
    </row>
    <row r="398" spans="1:8" x14ac:dyDescent="0.3">
      <c r="A398">
        <v>1</v>
      </c>
      <c r="B398" s="74">
        <v>45473</v>
      </c>
      <c r="C398" t="s">
        <v>19</v>
      </c>
      <c r="D398" t="s">
        <v>86</v>
      </c>
      <c r="E398" t="s">
        <v>45</v>
      </c>
      <c r="F398" t="s">
        <v>11</v>
      </c>
      <c r="G398" s="76">
        <v>25</v>
      </c>
      <c r="H398" t="s">
        <v>12</v>
      </c>
    </row>
    <row r="399" spans="1:8" x14ac:dyDescent="0.3">
      <c r="A399">
        <v>1</v>
      </c>
      <c r="B399" s="74">
        <v>45473</v>
      </c>
      <c r="C399" t="s">
        <v>19</v>
      </c>
      <c r="D399" t="s">
        <v>87</v>
      </c>
      <c r="E399" t="s">
        <v>48</v>
      </c>
      <c r="F399" t="s">
        <v>11</v>
      </c>
      <c r="G399" s="76">
        <v>75</v>
      </c>
      <c r="H399" t="s">
        <v>12</v>
      </c>
    </row>
    <row r="400" spans="1:8" x14ac:dyDescent="0.3">
      <c r="A400">
        <v>1</v>
      </c>
      <c r="B400" s="74">
        <v>45504</v>
      </c>
      <c r="C400" t="s">
        <v>19</v>
      </c>
      <c r="D400" t="s">
        <v>77</v>
      </c>
      <c r="E400" t="s">
        <v>21</v>
      </c>
      <c r="F400" t="s">
        <v>11</v>
      </c>
      <c r="G400" s="76">
        <v>20.8</v>
      </c>
      <c r="H400" t="s">
        <v>12</v>
      </c>
    </row>
    <row r="401" spans="1:8" x14ac:dyDescent="0.3">
      <c r="A401">
        <v>1</v>
      </c>
      <c r="B401" s="74">
        <v>45504</v>
      </c>
      <c r="C401" t="s">
        <v>19</v>
      </c>
      <c r="D401" t="s">
        <v>78</v>
      </c>
      <c r="E401" t="s">
        <v>23</v>
      </c>
      <c r="F401" t="s">
        <v>11</v>
      </c>
      <c r="G401" s="76">
        <v>73</v>
      </c>
      <c r="H401" t="s">
        <v>12</v>
      </c>
    </row>
    <row r="402" spans="1:8" x14ac:dyDescent="0.3">
      <c r="A402">
        <v>1</v>
      </c>
      <c r="B402" s="74">
        <v>45504</v>
      </c>
      <c r="C402" t="s">
        <v>19</v>
      </c>
      <c r="D402" t="s">
        <v>79</v>
      </c>
      <c r="E402" t="s">
        <v>27</v>
      </c>
      <c r="F402" t="s">
        <v>11</v>
      </c>
      <c r="G402" s="76">
        <v>138</v>
      </c>
      <c r="H402" t="s">
        <v>12</v>
      </c>
    </row>
    <row r="403" spans="1:8" x14ac:dyDescent="0.3">
      <c r="A403">
        <v>1</v>
      </c>
      <c r="B403" s="74">
        <v>45504</v>
      </c>
      <c r="C403" t="s">
        <v>19</v>
      </c>
      <c r="D403" t="s">
        <v>80</v>
      </c>
      <c r="E403" t="s">
        <v>29</v>
      </c>
      <c r="F403" t="s">
        <v>11</v>
      </c>
      <c r="G403" s="76">
        <v>276.5</v>
      </c>
      <c r="H403" t="s">
        <v>12</v>
      </c>
    </row>
    <row r="404" spans="1:8" x14ac:dyDescent="0.3">
      <c r="A404">
        <v>1</v>
      </c>
      <c r="B404" s="74">
        <v>45504</v>
      </c>
      <c r="C404" t="s">
        <v>19</v>
      </c>
      <c r="D404" t="s">
        <v>81</v>
      </c>
      <c r="E404" t="s">
        <v>31</v>
      </c>
      <c r="F404" t="s">
        <v>11</v>
      </c>
      <c r="G404" s="76">
        <v>44.5</v>
      </c>
      <c r="H404" t="s">
        <v>12</v>
      </c>
    </row>
    <row r="405" spans="1:8" x14ac:dyDescent="0.3">
      <c r="A405">
        <v>1</v>
      </c>
      <c r="B405" s="74">
        <v>45504</v>
      </c>
      <c r="C405" t="s">
        <v>19</v>
      </c>
      <c r="D405" t="s">
        <v>82</v>
      </c>
      <c r="E405" t="s">
        <v>36</v>
      </c>
      <c r="F405" t="s">
        <v>11</v>
      </c>
      <c r="G405" s="76">
        <v>163.88</v>
      </c>
      <c r="H405" t="s">
        <v>12</v>
      </c>
    </row>
    <row r="406" spans="1:8" x14ac:dyDescent="0.3">
      <c r="A406">
        <v>1</v>
      </c>
      <c r="B406" s="74">
        <v>45504</v>
      </c>
      <c r="C406" t="s">
        <v>19</v>
      </c>
      <c r="D406" t="s">
        <v>83</v>
      </c>
      <c r="E406" t="s">
        <v>40</v>
      </c>
      <c r="F406" t="s">
        <v>11</v>
      </c>
      <c r="G406" s="76">
        <v>47</v>
      </c>
      <c r="H406" t="s">
        <v>12</v>
      </c>
    </row>
    <row r="407" spans="1:8" x14ac:dyDescent="0.3">
      <c r="A407">
        <v>1</v>
      </c>
      <c r="B407" s="74">
        <v>45504</v>
      </c>
      <c r="C407" t="s">
        <v>19</v>
      </c>
      <c r="D407" t="s">
        <v>84</v>
      </c>
      <c r="E407" t="s">
        <v>42</v>
      </c>
      <c r="F407" t="s">
        <v>11</v>
      </c>
      <c r="G407" s="76">
        <v>30</v>
      </c>
      <c r="H407" t="s">
        <v>12</v>
      </c>
    </row>
    <row r="408" spans="1:8" x14ac:dyDescent="0.3">
      <c r="A408">
        <v>1</v>
      </c>
      <c r="B408" s="74">
        <v>45504</v>
      </c>
      <c r="C408" t="s">
        <v>19</v>
      </c>
      <c r="D408" t="s">
        <v>86</v>
      </c>
      <c r="E408" t="s">
        <v>45</v>
      </c>
      <c r="F408" t="s">
        <v>11</v>
      </c>
      <c r="G408" s="76">
        <v>23.5</v>
      </c>
      <c r="H408" t="s">
        <v>12</v>
      </c>
    </row>
    <row r="409" spans="1:8" x14ac:dyDescent="0.3">
      <c r="A409">
        <v>1</v>
      </c>
      <c r="B409" s="74">
        <v>45504</v>
      </c>
      <c r="C409" t="s">
        <v>19</v>
      </c>
      <c r="D409" t="s">
        <v>87</v>
      </c>
      <c r="E409" t="s">
        <v>48</v>
      </c>
      <c r="F409" t="s">
        <v>11</v>
      </c>
      <c r="G409" s="76">
        <v>88</v>
      </c>
      <c r="H409" t="s">
        <v>12</v>
      </c>
    </row>
    <row r="410" spans="1:8" x14ac:dyDescent="0.3">
      <c r="A410">
        <v>1</v>
      </c>
      <c r="B410" s="74">
        <v>45535</v>
      </c>
      <c r="C410" t="s">
        <v>19</v>
      </c>
      <c r="D410" t="s">
        <v>77</v>
      </c>
      <c r="E410" t="s">
        <v>21</v>
      </c>
      <c r="F410" t="s">
        <v>11</v>
      </c>
      <c r="G410" s="76">
        <v>19.899999999999999</v>
      </c>
      <c r="H410" t="s">
        <v>12</v>
      </c>
    </row>
    <row r="411" spans="1:8" x14ac:dyDescent="0.3">
      <c r="A411">
        <v>1</v>
      </c>
      <c r="B411" s="74">
        <v>45535</v>
      </c>
      <c r="C411" t="s">
        <v>19</v>
      </c>
      <c r="D411" t="s">
        <v>78</v>
      </c>
      <c r="E411" t="s">
        <v>23</v>
      </c>
      <c r="F411" t="s">
        <v>11</v>
      </c>
      <c r="G411" s="76">
        <v>65</v>
      </c>
      <c r="H411" t="s">
        <v>12</v>
      </c>
    </row>
    <row r="412" spans="1:8" x14ac:dyDescent="0.3">
      <c r="A412">
        <v>1</v>
      </c>
      <c r="B412" s="74">
        <v>45535</v>
      </c>
      <c r="C412" t="s">
        <v>19</v>
      </c>
      <c r="D412" t="s">
        <v>79</v>
      </c>
      <c r="E412" t="s">
        <v>27</v>
      </c>
      <c r="F412" t="s">
        <v>11</v>
      </c>
      <c r="G412" s="76">
        <v>129.5</v>
      </c>
      <c r="H412" t="s">
        <v>12</v>
      </c>
    </row>
    <row r="413" spans="1:8" x14ac:dyDescent="0.3">
      <c r="A413">
        <v>1</v>
      </c>
      <c r="B413" s="74">
        <v>45535</v>
      </c>
      <c r="C413" t="s">
        <v>19</v>
      </c>
      <c r="D413" t="s">
        <v>80</v>
      </c>
      <c r="E413" t="s">
        <v>29</v>
      </c>
      <c r="F413" t="s">
        <v>11</v>
      </c>
      <c r="G413" s="76">
        <v>276.5</v>
      </c>
      <c r="H413" t="s">
        <v>12</v>
      </c>
    </row>
    <row r="414" spans="1:8" x14ac:dyDescent="0.3">
      <c r="A414">
        <v>1</v>
      </c>
      <c r="B414" s="74">
        <v>45535</v>
      </c>
      <c r="C414" t="s">
        <v>19</v>
      </c>
      <c r="D414" t="s">
        <v>81</v>
      </c>
      <c r="E414" t="s">
        <v>31</v>
      </c>
      <c r="F414" t="s">
        <v>11</v>
      </c>
      <c r="G414" s="76">
        <v>45</v>
      </c>
      <c r="H414" t="s">
        <v>12</v>
      </c>
    </row>
    <row r="415" spans="1:8" x14ac:dyDescent="0.3">
      <c r="A415">
        <v>1</v>
      </c>
      <c r="B415" s="74">
        <v>45535</v>
      </c>
      <c r="C415" t="s">
        <v>19</v>
      </c>
      <c r="D415" t="s">
        <v>82</v>
      </c>
      <c r="E415" t="s">
        <v>36</v>
      </c>
      <c r="F415" t="s">
        <v>11</v>
      </c>
      <c r="G415" s="76">
        <v>163.88</v>
      </c>
      <c r="H415" t="s">
        <v>12</v>
      </c>
    </row>
    <row r="416" spans="1:8" x14ac:dyDescent="0.3">
      <c r="A416">
        <v>1</v>
      </c>
      <c r="B416" s="74">
        <v>45535</v>
      </c>
      <c r="C416" t="s">
        <v>19</v>
      </c>
      <c r="D416" t="s">
        <v>83</v>
      </c>
      <c r="E416" t="s">
        <v>40</v>
      </c>
      <c r="F416" t="s">
        <v>11</v>
      </c>
      <c r="G416" s="76">
        <v>49.5</v>
      </c>
      <c r="H416" t="s">
        <v>12</v>
      </c>
    </row>
    <row r="417" spans="1:8" x14ac:dyDescent="0.3">
      <c r="A417">
        <v>1</v>
      </c>
      <c r="B417" s="74">
        <v>45535</v>
      </c>
      <c r="C417" t="s">
        <v>19</v>
      </c>
      <c r="D417" t="s">
        <v>84</v>
      </c>
      <c r="E417" t="s">
        <v>42</v>
      </c>
      <c r="F417" t="s">
        <v>11</v>
      </c>
      <c r="G417" s="76">
        <v>26</v>
      </c>
      <c r="H417" t="s">
        <v>12</v>
      </c>
    </row>
    <row r="418" spans="1:8" x14ac:dyDescent="0.3">
      <c r="A418">
        <v>1</v>
      </c>
      <c r="B418" s="74">
        <v>45535</v>
      </c>
      <c r="C418" t="s">
        <v>19</v>
      </c>
      <c r="D418" t="s">
        <v>86</v>
      </c>
      <c r="E418" t="s">
        <v>45</v>
      </c>
      <c r="F418" t="s">
        <v>11</v>
      </c>
      <c r="G418" s="76">
        <v>25</v>
      </c>
      <c r="H418" t="s">
        <v>12</v>
      </c>
    </row>
    <row r="419" spans="1:8" x14ac:dyDescent="0.3">
      <c r="A419">
        <v>1</v>
      </c>
      <c r="B419" s="74">
        <v>45535</v>
      </c>
      <c r="C419" t="s">
        <v>19</v>
      </c>
      <c r="D419" t="s">
        <v>87</v>
      </c>
      <c r="E419" t="s">
        <v>48</v>
      </c>
      <c r="F419" t="s">
        <v>11</v>
      </c>
      <c r="G419" s="76">
        <v>85</v>
      </c>
      <c r="H419" t="s">
        <v>12</v>
      </c>
    </row>
    <row r="420" spans="1:8" x14ac:dyDescent="0.3">
      <c r="A420">
        <v>1</v>
      </c>
      <c r="B420" s="74">
        <v>45565</v>
      </c>
      <c r="C420" t="s">
        <v>19</v>
      </c>
      <c r="D420" t="s">
        <v>77</v>
      </c>
      <c r="E420" t="s">
        <v>21</v>
      </c>
      <c r="F420" t="s">
        <v>11</v>
      </c>
      <c r="G420" s="76">
        <v>22</v>
      </c>
      <c r="H420" t="s">
        <v>12</v>
      </c>
    </row>
    <row r="421" spans="1:8" x14ac:dyDescent="0.3">
      <c r="A421">
        <v>1</v>
      </c>
      <c r="B421" s="74">
        <v>45565</v>
      </c>
      <c r="C421" t="s">
        <v>19</v>
      </c>
      <c r="D421" t="s">
        <v>78</v>
      </c>
      <c r="E421" t="s">
        <v>23</v>
      </c>
      <c r="F421" t="s">
        <v>11</v>
      </c>
      <c r="G421" s="76">
        <v>68</v>
      </c>
      <c r="H421" t="s">
        <v>12</v>
      </c>
    </row>
    <row r="422" spans="1:8" x14ac:dyDescent="0.3">
      <c r="A422">
        <v>1</v>
      </c>
      <c r="B422" s="74">
        <v>45565</v>
      </c>
      <c r="C422" t="s">
        <v>19</v>
      </c>
      <c r="D422" t="s">
        <v>79</v>
      </c>
      <c r="E422" t="s">
        <v>27</v>
      </c>
      <c r="F422" t="s">
        <v>11</v>
      </c>
      <c r="G422" s="76">
        <v>140</v>
      </c>
      <c r="H422" t="s">
        <v>12</v>
      </c>
    </row>
    <row r="423" spans="1:8" x14ac:dyDescent="0.3">
      <c r="A423">
        <v>1</v>
      </c>
      <c r="B423" s="74">
        <v>45565</v>
      </c>
      <c r="C423" t="s">
        <v>19</v>
      </c>
      <c r="D423" t="s">
        <v>80</v>
      </c>
      <c r="E423" t="s">
        <v>29</v>
      </c>
      <c r="F423" t="s">
        <v>11</v>
      </c>
      <c r="G423" s="76">
        <v>276.5</v>
      </c>
      <c r="H423" t="s">
        <v>12</v>
      </c>
    </row>
    <row r="424" spans="1:8" x14ac:dyDescent="0.3">
      <c r="A424">
        <v>1</v>
      </c>
      <c r="B424" s="74">
        <v>45565</v>
      </c>
      <c r="C424" t="s">
        <v>19</v>
      </c>
      <c r="D424" t="s">
        <v>81</v>
      </c>
      <c r="E424" t="s">
        <v>31</v>
      </c>
      <c r="F424" t="s">
        <v>11</v>
      </c>
      <c r="G424" s="76">
        <v>42.5</v>
      </c>
      <c r="H424" t="s">
        <v>12</v>
      </c>
    </row>
    <row r="425" spans="1:8" x14ac:dyDescent="0.3">
      <c r="A425">
        <v>1</v>
      </c>
      <c r="B425" s="74">
        <v>45565</v>
      </c>
      <c r="C425" t="s">
        <v>19</v>
      </c>
      <c r="D425" t="s">
        <v>82</v>
      </c>
      <c r="E425" t="s">
        <v>36</v>
      </c>
      <c r="F425" t="s">
        <v>11</v>
      </c>
      <c r="G425" s="76">
        <v>163.88</v>
      </c>
      <c r="H425" t="s">
        <v>12</v>
      </c>
    </row>
    <row r="426" spans="1:8" x14ac:dyDescent="0.3">
      <c r="A426">
        <v>1</v>
      </c>
      <c r="B426" s="74">
        <v>45565</v>
      </c>
      <c r="C426" t="s">
        <v>19</v>
      </c>
      <c r="D426" t="s">
        <v>83</v>
      </c>
      <c r="E426" t="s">
        <v>40</v>
      </c>
      <c r="F426" t="s">
        <v>11</v>
      </c>
      <c r="G426" s="76">
        <v>50</v>
      </c>
      <c r="H426" t="s">
        <v>12</v>
      </c>
    </row>
    <row r="427" spans="1:8" x14ac:dyDescent="0.3">
      <c r="A427">
        <v>1</v>
      </c>
      <c r="B427" s="74">
        <v>45565</v>
      </c>
      <c r="C427" t="s">
        <v>19</v>
      </c>
      <c r="D427" t="s">
        <v>84</v>
      </c>
      <c r="E427" t="s">
        <v>42</v>
      </c>
      <c r="F427" t="s">
        <v>11</v>
      </c>
      <c r="G427" s="76">
        <v>30</v>
      </c>
      <c r="H427" t="s">
        <v>12</v>
      </c>
    </row>
    <row r="428" spans="1:8" x14ac:dyDescent="0.3">
      <c r="A428">
        <v>1</v>
      </c>
      <c r="B428" s="74">
        <v>45565</v>
      </c>
      <c r="C428" t="s">
        <v>19</v>
      </c>
      <c r="D428" t="s">
        <v>86</v>
      </c>
      <c r="E428" t="s">
        <v>45</v>
      </c>
      <c r="F428" t="s">
        <v>11</v>
      </c>
      <c r="G428" s="76">
        <v>26</v>
      </c>
      <c r="H428" t="s">
        <v>12</v>
      </c>
    </row>
    <row r="429" spans="1:8" x14ac:dyDescent="0.3">
      <c r="A429">
        <v>1</v>
      </c>
      <c r="B429" s="74">
        <v>45565</v>
      </c>
      <c r="C429" t="s">
        <v>19</v>
      </c>
      <c r="D429" t="s">
        <v>87</v>
      </c>
      <c r="E429" t="s">
        <v>48</v>
      </c>
      <c r="F429" t="s">
        <v>11</v>
      </c>
      <c r="G429" s="76">
        <v>80</v>
      </c>
      <c r="H429" t="s">
        <v>12</v>
      </c>
    </row>
    <row r="430" spans="1:8" x14ac:dyDescent="0.3">
      <c r="A430">
        <v>1</v>
      </c>
      <c r="B430" s="74">
        <v>45596</v>
      </c>
      <c r="C430" t="s">
        <v>19</v>
      </c>
      <c r="D430" t="s">
        <v>77</v>
      </c>
      <c r="E430" t="s">
        <v>21</v>
      </c>
      <c r="F430" t="s">
        <v>11</v>
      </c>
      <c r="G430" s="76">
        <v>20.5</v>
      </c>
      <c r="H430" t="s">
        <v>12</v>
      </c>
    </row>
    <row r="431" spans="1:8" x14ac:dyDescent="0.3">
      <c r="A431">
        <v>1</v>
      </c>
      <c r="B431" s="74">
        <v>45596</v>
      </c>
      <c r="C431" t="s">
        <v>19</v>
      </c>
      <c r="D431" t="s">
        <v>78</v>
      </c>
      <c r="E431" t="s">
        <v>23</v>
      </c>
      <c r="F431" t="s">
        <v>11</v>
      </c>
      <c r="G431" s="76">
        <v>75</v>
      </c>
      <c r="H431" t="s">
        <v>12</v>
      </c>
    </row>
    <row r="432" spans="1:8" x14ac:dyDescent="0.3">
      <c r="A432">
        <v>1</v>
      </c>
      <c r="B432" s="74">
        <v>45596</v>
      </c>
      <c r="C432" t="s">
        <v>19</v>
      </c>
      <c r="D432" t="s">
        <v>79</v>
      </c>
      <c r="E432" t="s">
        <v>27</v>
      </c>
      <c r="F432" t="s">
        <v>11</v>
      </c>
      <c r="G432" s="76">
        <v>155</v>
      </c>
      <c r="H432" t="s">
        <v>12</v>
      </c>
    </row>
    <row r="433" spans="1:8" x14ac:dyDescent="0.3">
      <c r="A433">
        <v>1</v>
      </c>
      <c r="B433" s="74">
        <v>45596</v>
      </c>
      <c r="C433" t="s">
        <v>19</v>
      </c>
      <c r="D433" t="s">
        <v>80</v>
      </c>
      <c r="E433" t="s">
        <v>29</v>
      </c>
      <c r="F433" t="s">
        <v>11</v>
      </c>
      <c r="G433" s="76">
        <v>276.5</v>
      </c>
      <c r="H433" t="s">
        <v>12</v>
      </c>
    </row>
    <row r="434" spans="1:8" x14ac:dyDescent="0.3">
      <c r="A434">
        <v>1</v>
      </c>
      <c r="B434" s="74">
        <v>45596</v>
      </c>
      <c r="C434" t="s">
        <v>19</v>
      </c>
      <c r="D434" t="s">
        <v>81</v>
      </c>
      <c r="E434" t="s">
        <v>31</v>
      </c>
      <c r="F434" t="s">
        <v>11</v>
      </c>
      <c r="G434" s="76">
        <v>43.5</v>
      </c>
      <c r="H434" t="s">
        <v>12</v>
      </c>
    </row>
    <row r="435" spans="1:8" x14ac:dyDescent="0.3">
      <c r="A435">
        <v>1</v>
      </c>
      <c r="B435" s="74">
        <v>45596</v>
      </c>
      <c r="C435" t="s">
        <v>19</v>
      </c>
      <c r="D435" t="s">
        <v>82</v>
      </c>
      <c r="E435" t="s">
        <v>36</v>
      </c>
      <c r="F435" t="s">
        <v>11</v>
      </c>
      <c r="G435" s="76">
        <v>163.88</v>
      </c>
      <c r="H435" t="s">
        <v>12</v>
      </c>
    </row>
    <row r="436" spans="1:8" x14ac:dyDescent="0.3">
      <c r="A436">
        <v>1</v>
      </c>
      <c r="B436" s="74">
        <v>45596</v>
      </c>
      <c r="C436" t="s">
        <v>19</v>
      </c>
      <c r="D436" t="s">
        <v>83</v>
      </c>
      <c r="E436" t="s">
        <v>40</v>
      </c>
      <c r="F436" t="s">
        <v>11</v>
      </c>
      <c r="G436" s="76">
        <v>48</v>
      </c>
      <c r="H436" t="s">
        <v>12</v>
      </c>
    </row>
    <row r="437" spans="1:8" x14ac:dyDescent="0.3">
      <c r="A437">
        <v>1</v>
      </c>
      <c r="B437" s="74">
        <v>45596</v>
      </c>
      <c r="C437" t="s">
        <v>19</v>
      </c>
      <c r="D437" t="s">
        <v>84</v>
      </c>
      <c r="E437" t="s">
        <v>42</v>
      </c>
      <c r="F437" t="s">
        <v>11</v>
      </c>
      <c r="G437" s="76">
        <v>28</v>
      </c>
      <c r="H437" t="s">
        <v>12</v>
      </c>
    </row>
    <row r="438" spans="1:8" x14ac:dyDescent="0.3">
      <c r="A438">
        <v>1</v>
      </c>
      <c r="B438" s="74">
        <v>45596</v>
      </c>
      <c r="C438" t="s">
        <v>19</v>
      </c>
      <c r="D438" t="s">
        <v>86</v>
      </c>
      <c r="E438" t="s">
        <v>45</v>
      </c>
      <c r="F438" t="s">
        <v>11</v>
      </c>
      <c r="G438" s="76">
        <v>24</v>
      </c>
      <c r="H438" t="s">
        <v>12</v>
      </c>
    </row>
    <row r="439" spans="1:8" x14ac:dyDescent="0.3">
      <c r="A439">
        <v>1</v>
      </c>
      <c r="B439" s="74">
        <v>45596</v>
      </c>
      <c r="C439" t="s">
        <v>19</v>
      </c>
      <c r="D439" t="s">
        <v>87</v>
      </c>
      <c r="E439" t="s">
        <v>48</v>
      </c>
      <c r="F439" t="s">
        <v>11</v>
      </c>
      <c r="G439" s="76">
        <v>90</v>
      </c>
      <c r="H439" t="s">
        <v>12</v>
      </c>
    </row>
    <row r="440" spans="1:8" x14ac:dyDescent="0.3">
      <c r="A440">
        <v>1</v>
      </c>
      <c r="B440" s="74">
        <v>45626</v>
      </c>
      <c r="C440" t="s">
        <v>19</v>
      </c>
      <c r="D440" t="s">
        <v>77</v>
      </c>
      <c r="E440" t="s">
        <v>21</v>
      </c>
      <c r="F440" t="s">
        <v>11</v>
      </c>
      <c r="G440" s="76">
        <v>21</v>
      </c>
      <c r="H440" t="s">
        <v>12</v>
      </c>
    </row>
    <row r="441" spans="1:8" x14ac:dyDescent="0.3">
      <c r="A441">
        <v>1</v>
      </c>
      <c r="B441" s="74">
        <v>45626</v>
      </c>
      <c r="C441" t="s">
        <v>19</v>
      </c>
      <c r="D441" t="s">
        <v>78</v>
      </c>
      <c r="E441" t="s">
        <v>23</v>
      </c>
      <c r="F441" t="s">
        <v>11</v>
      </c>
      <c r="G441" s="76">
        <v>68</v>
      </c>
      <c r="H441" t="s">
        <v>12</v>
      </c>
    </row>
    <row r="442" spans="1:8" x14ac:dyDescent="0.3">
      <c r="A442">
        <v>1</v>
      </c>
      <c r="B442" s="74">
        <v>45626</v>
      </c>
      <c r="C442" t="s">
        <v>19</v>
      </c>
      <c r="D442" t="s">
        <v>79</v>
      </c>
      <c r="E442" t="s">
        <v>27</v>
      </c>
      <c r="F442" t="s">
        <v>11</v>
      </c>
      <c r="G442" s="76">
        <v>138</v>
      </c>
      <c r="H442" t="s">
        <v>12</v>
      </c>
    </row>
    <row r="443" spans="1:8" x14ac:dyDescent="0.3">
      <c r="A443">
        <v>1</v>
      </c>
      <c r="B443" s="74">
        <v>45626</v>
      </c>
      <c r="C443" t="s">
        <v>19</v>
      </c>
      <c r="D443" t="s">
        <v>80</v>
      </c>
      <c r="E443" t="s">
        <v>29</v>
      </c>
      <c r="F443" t="s">
        <v>11</v>
      </c>
      <c r="G443" s="76">
        <v>276.5</v>
      </c>
      <c r="H443" t="s">
        <v>12</v>
      </c>
    </row>
    <row r="444" spans="1:8" x14ac:dyDescent="0.3">
      <c r="A444">
        <v>1</v>
      </c>
      <c r="B444" s="74">
        <v>45626</v>
      </c>
      <c r="C444" t="s">
        <v>19</v>
      </c>
      <c r="D444" t="s">
        <v>81</v>
      </c>
      <c r="E444" t="s">
        <v>31</v>
      </c>
      <c r="F444" t="s">
        <v>11</v>
      </c>
      <c r="G444" s="76">
        <v>42</v>
      </c>
      <c r="H444" t="s">
        <v>12</v>
      </c>
    </row>
    <row r="445" spans="1:8" x14ac:dyDescent="0.3">
      <c r="A445">
        <v>1</v>
      </c>
      <c r="B445" s="74">
        <v>45626</v>
      </c>
      <c r="C445" t="s">
        <v>19</v>
      </c>
      <c r="D445" t="s">
        <v>82</v>
      </c>
      <c r="E445" t="s">
        <v>36</v>
      </c>
      <c r="F445" t="s">
        <v>11</v>
      </c>
      <c r="G445" s="76">
        <v>163.88</v>
      </c>
      <c r="H445" t="s">
        <v>12</v>
      </c>
    </row>
    <row r="446" spans="1:8" x14ac:dyDescent="0.3">
      <c r="A446">
        <v>1</v>
      </c>
      <c r="B446" s="74">
        <v>45626</v>
      </c>
      <c r="C446" t="s">
        <v>19</v>
      </c>
      <c r="D446" t="s">
        <v>83</v>
      </c>
      <c r="E446" t="s">
        <v>40</v>
      </c>
      <c r="F446" t="s">
        <v>11</v>
      </c>
      <c r="G446" s="76">
        <v>55</v>
      </c>
      <c r="H446" t="s">
        <v>12</v>
      </c>
    </row>
    <row r="447" spans="1:8" x14ac:dyDescent="0.3">
      <c r="A447">
        <v>1</v>
      </c>
      <c r="B447" s="74">
        <v>45626</v>
      </c>
      <c r="C447" t="s">
        <v>19</v>
      </c>
      <c r="D447" t="s">
        <v>84</v>
      </c>
      <c r="E447" t="s">
        <v>42</v>
      </c>
      <c r="F447" t="s">
        <v>11</v>
      </c>
      <c r="G447" s="76">
        <v>31</v>
      </c>
      <c r="H447" t="s">
        <v>12</v>
      </c>
    </row>
    <row r="448" spans="1:8" x14ac:dyDescent="0.3">
      <c r="A448">
        <v>1</v>
      </c>
      <c r="B448" s="74">
        <v>45626</v>
      </c>
      <c r="C448" t="s">
        <v>19</v>
      </c>
      <c r="D448" t="s">
        <v>86</v>
      </c>
      <c r="E448" t="s">
        <v>45</v>
      </c>
      <c r="F448" t="s">
        <v>11</v>
      </c>
      <c r="G448" s="76">
        <v>26.5</v>
      </c>
      <c r="H448" t="s">
        <v>12</v>
      </c>
    </row>
    <row r="449" spans="1:8" x14ac:dyDescent="0.3">
      <c r="A449">
        <v>1</v>
      </c>
      <c r="B449" s="74">
        <v>45626</v>
      </c>
      <c r="C449" t="s">
        <v>19</v>
      </c>
      <c r="D449" t="s">
        <v>87</v>
      </c>
      <c r="E449" t="s">
        <v>48</v>
      </c>
      <c r="F449" t="s">
        <v>11</v>
      </c>
      <c r="G449" s="76">
        <v>80</v>
      </c>
      <c r="H449" t="s">
        <v>12</v>
      </c>
    </row>
    <row r="450" spans="1:8" x14ac:dyDescent="0.3">
      <c r="A450">
        <v>1</v>
      </c>
      <c r="B450" s="74">
        <v>45657</v>
      </c>
      <c r="C450" t="s">
        <v>19</v>
      </c>
      <c r="D450" t="s">
        <v>77</v>
      </c>
      <c r="E450" t="s">
        <v>21</v>
      </c>
      <c r="F450" t="s">
        <v>11</v>
      </c>
      <c r="G450" s="76">
        <v>23</v>
      </c>
      <c r="H450" t="s">
        <v>12</v>
      </c>
    </row>
    <row r="451" spans="1:8" x14ac:dyDescent="0.3">
      <c r="A451">
        <v>1</v>
      </c>
      <c r="B451" s="74">
        <v>45657</v>
      </c>
      <c r="C451" t="s">
        <v>19</v>
      </c>
      <c r="D451" t="s">
        <v>78</v>
      </c>
      <c r="E451" t="s">
        <v>23</v>
      </c>
      <c r="F451" t="s">
        <v>11</v>
      </c>
      <c r="G451" s="76">
        <v>95</v>
      </c>
      <c r="H451" t="s">
        <v>12</v>
      </c>
    </row>
    <row r="452" spans="1:8" x14ac:dyDescent="0.3">
      <c r="A452">
        <v>1</v>
      </c>
      <c r="B452" s="74">
        <v>45657</v>
      </c>
      <c r="C452" t="s">
        <v>19</v>
      </c>
      <c r="D452" t="s">
        <v>79</v>
      </c>
      <c r="E452" t="s">
        <v>27</v>
      </c>
      <c r="F452" t="s">
        <v>11</v>
      </c>
      <c r="G452" s="76">
        <v>160</v>
      </c>
      <c r="H452" t="s">
        <v>12</v>
      </c>
    </row>
    <row r="453" spans="1:8" x14ac:dyDescent="0.3">
      <c r="A453">
        <v>1</v>
      </c>
      <c r="B453" s="74">
        <v>45657</v>
      </c>
      <c r="C453" t="s">
        <v>19</v>
      </c>
      <c r="D453" t="s">
        <v>80</v>
      </c>
      <c r="E453" t="s">
        <v>29</v>
      </c>
      <c r="F453" t="s">
        <v>11</v>
      </c>
      <c r="G453" s="76">
        <v>276.5</v>
      </c>
      <c r="H453" t="s">
        <v>12</v>
      </c>
    </row>
    <row r="454" spans="1:8" x14ac:dyDescent="0.3">
      <c r="A454">
        <v>1</v>
      </c>
      <c r="B454" s="74">
        <v>45657</v>
      </c>
      <c r="C454" t="s">
        <v>19</v>
      </c>
      <c r="D454" t="s">
        <v>81</v>
      </c>
      <c r="E454" t="s">
        <v>31</v>
      </c>
      <c r="F454" t="s">
        <v>11</v>
      </c>
      <c r="G454" s="76">
        <v>45</v>
      </c>
      <c r="H454" t="s">
        <v>12</v>
      </c>
    </row>
    <row r="455" spans="1:8" x14ac:dyDescent="0.3">
      <c r="A455">
        <v>1</v>
      </c>
      <c r="B455" s="74">
        <v>45657</v>
      </c>
      <c r="C455" t="s">
        <v>19</v>
      </c>
      <c r="D455" t="s">
        <v>82</v>
      </c>
      <c r="E455" t="s">
        <v>36</v>
      </c>
      <c r="F455" t="s">
        <v>11</v>
      </c>
      <c r="G455" s="76">
        <v>163.88</v>
      </c>
      <c r="H455" t="s">
        <v>12</v>
      </c>
    </row>
    <row r="456" spans="1:8" x14ac:dyDescent="0.3">
      <c r="A456">
        <v>1</v>
      </c>
      <c r="B456" s="74">
        <v>45657</v>
      </c>
      <c r="C456" t="s">
        <v>19</v>
      </c>
      <c r="D456" t="s">
        <v>83</v>
      </c>
      <c r="E456" t="s">
        <v>40</v>
      </c>
      <c r="F456" t="s">
        <v>11</v>
      </c>
      <c r="G456" s="76">
        <v>50</v>
      </c>
      <c r="H456" t="s">
        <v>12</v>
      </c>
    </row>
    <row r="457" spans="1:8" x14ac:dyDescent="0.3">
      <c r="A457">
        <v>1</v>
      </c>
      <c r="B457" s="74">
        <v>45657</v>
      </c>
      <c r="C457" t="s">
        <v>19</v>
      </c>
      <c r="D457" t="s">
        <v>84</v>
      </c>
      <c r="E457" t="s">
        <v>42</v>
      </c>
      <c r="F457" t="s">
        <v>11</v>
      </c>
      <c r="G457" s="76">
        <v>27</v>
      </c>
      <c r="H457" t="s">
        <v>12</v>
      </c>
    </row>
    <row r="458" spans="1:8" x14ac:dyDescent="0.3">
      <c r="A458">
        <v>1</v>
      </c>
      <c r="B458" s="74">
        <v>45657</v>
      </c>
      <c r="C458" t="s">
        <v>19</v>
      </c>
      <c r="D458" t="s">
        <v>86</v>
      </c>
      <c r="E458" t="s">
        <v>45</v>
      </c>
      <c r="F458" t="s">
        <v>11</v>
      </c>
      <c r="G458" s="76">
        <v>28</v>
      </c>
      <c r="H458" t="s">
        <v>12</v>
      </c>
    </row>
    <row r="459" spans="1:8" x14ac:dyDescent="0.3">
      <c r="A459">
        <v>1</v>
      </c>
      <c r="B459" s="74">
        <v>45657</v>
      </c>
      <c r="C459" t="s">
        <v>19</v>
      </c>
      <c r="D459" t="s">
        <v>87</v>
      </c>
      <c r="E459" t="s">
        <v>48</v>
      </c>
      <c r="F459" t="s">
        <v>11</v>
      </c>
      <c r="G459" s="76">
        <v>92</v>
      </c>
      <c r="H459" t="s">
        <v>12</v>
      </c>
    </row>
    <row r="460" spans="1:8" x14ac:dyDescent="0.3">
      <c r="A460" s="82">
        <v>1</v>
      </c>
      <c r="B460" s="83">
        <v>45688</v>
      </c>
      <c r="C460" s="84" t="s">
        <v>19</v>
      </c>
      <c r="D460" s="69" t="s">
        <v>85</v>
      </c>
      <c r="E460" s="69" t="s">
        <v>38</v>
      </c>
      <c r="F460" s="84" t="s">
        <v>33</v>
      </c>
      <c r="G460" s="86">
        <v>915.15</v>
      </c>
      <c r="H460" s="87" t="s">
        <v>12</v>
      </c>
    </row>
    <row r="461" spans="1:8" x14ac:dyDescent="0.3">
      <c r="A461" s="69">
        <v>1</v>
      </c>
      <c r="B461" s="70">
        <v>45716</v>
      </c>
      <c r="C461" s="69" t="s">
        <v>19</v>
      </c>
      <c r="D461" s="69" t="s">
        <v>85</v>
      </c>
      <c r="E461" s="69" t="s">
        <v>38</v>
      </c>
      <c r="F461" s="69" t="s">
        <v>33</v>
      </c>
      <c r="G461" s="86">
        <v>915.15</v>
      </c>
      <c r="H461" s="69" t="s">
        <v>12</v>
      </c>
    </row>
    <row r="462" spans="1:8" x14ac:dyDescent="0.3">
      <c r="A462" s="69">
        <v>1</v>
      </c>
      <c r="B462" s="70">
        <v>45747</v>
      </c>
      <c r="C462" s="69" t="s">
        <v>19</v>
      </c>
      <c r="D462" s="69" t="s">
        <v>85</v>
      </c>
      <c r="E462" s="69" t="s">
        <v>38</v>
      </c>
      <c r="F462" s="69" t="s">
        <v>33</v>
      </c>
      <c r="G462" s="86">
        <v>915.15</v>
      </c>
      <c r="H462" s="69" t="s">
        <v>12</v>
      </c>
    </row>
    <row r="463" spans="1:8" x14ac:dyDescent="0.3">
      <c r="A463" s="69">
        <v>1</v>
      </c>
      <c r="B463" s="70">
        <v>45777</v>
      </c>
      <c r="C463" s="69" t="s">
        <v>19</v>
      </c>
      <c r="D463" s="69" t="s">
        <v>85</v>
      </c>
      <c r="E463" s="69" t="s">
        <v>38</v>
      </c>
      <c r="F463" s="69" t="s">
        <v>33</v>
      </c>
      <c r="G463" s="86">
        <v>915.15</v>
      </c>
      <c r="H463" s="69" t="s">
        <v>12</v>
      </c>
    </row>
    <row r="464" spans="1:8" x14ac:dyDescent="0.3">
      <c r="A464" s="69">
        <v>1</v>
      </c>
      <c r="B464" s="70">
        <v>45808</v>
      </c>
      <c r="C464" s="69" t="s">
        <v>19</v>
      </c>
      <c r="D464" s="69" t="s">
        <v>85</v>
      </c>
      <c r="E464" s="69" t="s">
        <v>38</v>
      </c>
      <c r="F464" s="69" t="s">
        <v>33</v>
      </c>
      <c r="G464" s="86">
        <v>915.15</v>
      </c>
      <c r="H464" s="69" t="s">
        <v>12</v>
      </c>
    </row>
    <row r="465" spans="1:8" x14ac:dyDescent="0.3">
      <c r="A465" s="69">
        <v>1</v>
      </c>
      <c r="B465" s="70">
        <v>45838</v>
      </c>
      <c r="C465" s="69" t="s">
        <v>19</v>
      </c>
      <c r="D465" s="69" t="s">
        <v>85</v>
      </c>
      <c r="E465" s="69" t="s">
        <v>38</v>
      </c>
      <c r="F465" s="69" t="s">
        <v>33</v>
      </c>
      <c r="G465" s="86">
        <v>915.15</v>
      </c>
      <c r="H465" s="69" t="s">
        <v>12</v>
      </c>
    </row>
    <row r="466" spans="1:8" x14ac:dyDescent="0.3">
      <c r="A466" s="69">
        <v>1</v>
      </c>
      <c r="B466" s="70">
        <v>45869</v>
      </c>
      <c r="C466" s="69" t="s">
        <v>19</v>
      </c>
      <c r="D466" s="69" t="s">
        <v>85</v>
      </c>
      <c r="E466" s="69" t="s">
        <v>38</v>
      </c>
      <c r="F466" s="69" t="s">
        <v>33</v>
      </c>
      <c r="G466" s="86">
        <v>915.15</v>
      </c>
      <c r="H466" s="69" t="s">
        <v>12</v>
      </c>
    </row>
    <row r="467" spans="1:8" x14ac:dyDescent="0.3">
      <c r="A467" s="69">
        <v>1</v>
      </c>
      <c r="B467" s="70">
        <v>45900</v>
      </c>
      <c r="C467" s="69" t="s">
        <v>19</v>
      </c>
      <c r="D467" s="69" t="s">
        <v>85</v>
      </c>
      <c r="E467" s="69" t="s">
        <v>38</v>
      </c>
      <c r="F467" s="69" t="s">
        <v>33</v>
      </c>
      <c r="G467" s="86">
        <v>915.15</v>
      </c>
      <c r="H467" s="69" t="s">
        <v>12</v>
      </c>
    </row>
    <row r="468" spans="1:8" x14ac:dyDescent="0.3">
      <c r="A468" s="69">
        <v>1</v>
      </c>
      <c r="B468" s="70">
        <v>45930</v>
      </c>
      <c r="C468" s="69" t="s">
        <v>19</v>
      </c>
      <c r="D468" s="69" t="s">
        <v>85</v>
      </c>
      <c r="E468" s="69" t="s">
        <v>38</v>
      </c>
      <c r="F468" s="69" t="s">
        <v>33</v>
      </c>
      <c r="G468" s="86">
        <v>915.15</v>
      </c>
      <c r="H468" s="69" t="s">
        <v>12</v>
      </c>
    </row>
    <row r="469" spans="1:8" x14ac:dyDescent="0.3">
      <c r="A469" s="69">
        <v>1</v>
      </c>
      <c r="B469" s="70">
        <v>45961</v>
      </c>
      <c r="C469" s="69" t="s">
        <v>19</v>
      </c>
      <c r="D469" s="69" t="s">
        <v>85</v>
      </c>
      <c r="E469" s="69" t="s">
        <v>38</v>
      </c>
      <c r="F469" s="69" t="s">
        <v>33</v>
      </c>
      <c r="G469" s="86">
        <v>915.15</v>
      </c>
      <c r="H469" s="69" t="s">
        <v>12</v>
      </c>
    </row>
    <row r="470" spans="1:8" x14ac:dyDescent="0.3">
      <c r="A470" s="69">
        <v>1</v>
      </c>
      <c r="B470" s="70">
        <v>45991</v>
      </c>
      <c r="C470" s="69" t="s">
        <v>19</v>
      </c>
      <c r="D470" s="69" t="s">
        <v>85</v>
      </c>
      <c r="E470" s="69" t="s">
        <v>38</v>
      </c>
      <c r="F470" s="69" t="s">
        <v>33</v>
      </c>
      <c r="G470" s="86">
        <v>915.15</v>
      </c>
      <c r="H470" s="69" t="s">
        <v>12</v>
      </c>
    </row>
    <row r="471" spans="1:8" x14ac:dyDescent="0.3">
      <c r="A471" s="69">
        <v>1</v>
      </c>
      <c r="B471" s="70">
        <v>45688</v>
      </c>
      <c r="C471" s="69" t="s">
        <v>88</v>
      </c>
      <c r="D471" s="69" t="s">
        <v>85</v>
      </c>
      <c r="E471" s="69" t="s">
        <v>38</v>
      </c>
      <c r="F471" s="69" t="s">
        <v>33</v>
      </c>
      <c r="G471" s="73">
        <v>3500</v>
      </c>
      <c r="H471" s="69" t="s">
        <v>53</v>
      </c>
    </row>
    <row r="472" spans="1:8" x14ac:dyDescent="0.3">
      <c r="A472" s="69">
        <v>1</v>
      </c>
      <c r="B472" s="70">
        <v>45716</v>
      </c>
      <c r="C472" s="69" t="s">
        <v>88</v>
      </c>
      <c r="D472" s="69" t="s">
        <v>85</v>
      </c>
      <c r="E472" s="69" t="s">
        <v>38</v>
      </c>
      <c r="F472" s="69" t="s">
        <v>33</v>
      </c>
      <c r="G472" s="73">
        <v>3000</v>
      </c>
      <c r="H472" s="69" t="s">
        <v>53</v>
      </c>
    </row>
    <row r="473" spans="1:8" x14ac:dyDescent="0.3">
      <c r="A473" s="69">
        <v>1</v>
      </c>
      <c r="B473" s="70">
        <v>45747</v>
      </c>
      <c r="C473" s="69" t="s">
        <v>88</v>
      </c>
      <c r="D473" s="69" t="s">
        <v>85</v>
      </c>
      <c r="E473" s="69" t="s">
        <v>38</v>
      </c>
      <c r="F473" s="69" t="s">
        <v>33</v>
      </c>
      <c r="G473" s="73">
        <v>3500</v>
      </c>
      <c r="H473" s="69" t="s">
        <v>53</v>
      </c>
    </row>
    <row r="474" spans="1:8" x14ac:dyDescent="0.3">
      <c r="A474" s="69">
        <v>1</v>
      </c>
      <c r="B474" s="70">
        <v>45777</v>
      </c>
      <c r="C474" s="69" t="s">
        <v>88</v>
      </c>
      <c r="D474" s="69" t="s">
        <v>85</v>
      </c>
      <c r="E474" s="69" t="s">
        <v>38</v>
      </c>
      <c r="F474" s="69" t="s">
        <v>33</v>
      </c>
      <c r="G474" s="73">
        <v>3000</v>
      </c>
      <c r="H474" s="69" t="s">
        <v>53</v>
      </c>
    </row>
    <row r="475" spans="1:8" x14ac:dyDescent="0.3">
      <c r="A475" s="69">
        <v>1</v>
      </c>
      <c r="B475" s="70">
        <v>45808</v>
      </c>
      <c r="C475" s="69" t="s">
        <v>88</v>
      </c>
      <c r="D475" s="69" t="s">
        <v>85</v>
      </c>
      <c r="E475" s="69" t="s">
        <v>38</v>
      </c>
      <c r="F475" s="69" t="s">
        <v>33</v>
      </c>
      <c r="G475" s="73">
        <v>3500</v>
      </c>
      <c r="H475" s="69" t="s">
        <v>53</v>
      </c>
    </row>
    <row r="476" spans="1:8" x14ac:dyDescent="0.3">
      <c r="A476" s="69">
        <v>1</v>
      </c>
      <c r="B476" s="70">
        <v>45838</v>
      </c>
      <c r="C476" s="69" t="s">
        <v>88</v>
      </c>
      <c r="D476" s="69" t="s">
        <v>85</v>
      </c>
      <c r="E476" s="69" t="s">
        <v>38</v>
      </c>
      <c r="F476" s="69" t="s">
        <v>33</v>
      </c>
      <c r="G476" s="73">
        <v>3000</v>
      </c>
      <c r="H476" s="69" t="s">
        <v>53</v>
      </c>
    </row>
    <row r="477" spans="1:8" x14ac:dyDescent="0.3">
      <c r="A477" s="69">
        <v>1</v>
      </c>
      <c r="B477" s="70">
        <v>45869</v>
      </c>
      <c r="C477" s="69" t="s">
        <v>88</v>
      </c>
      <c r="D477" s="69" t="s">
        <v>85</v>
      </c>
      <c r="E477" s="69" t="s">
        <v>38</v>
      </c>
      <c r="F477" s="69" t="s">
        <v>33</v>
      </c>
      <c r="G477" s="73">
        <v>3500</v>
      </c>
      <c r="H477" s="69" t="s">
        <v>53</v>
      </c>
    </row>
    <row r="478" spans="1:8" x14ac:dyDescent="0.3">
      <c r="A478" s="69">
        <v>1</v>
      </c>
      <c r="B478" s="70">
        <v>45900</v>
      </c>
      <c r="C478" s="69" t="s">
        <v>88</v>
      </c>
      <c r="D478" s="69" t="s">
        <v>85</v>
      </c>
      <c r="E478" s="69" t="s">
        <v>38</v>
      </c>
      <c r="F478" s="69" t="s">
        <v>33</v>
      </c>
      <c r="G478" s="73">
        <v>3000</v>
      </c>
      <c r="H478" s="69" t="s">
        <v>53</v>
      </c>
    </row>
    <row r="479" spans="1:8" x14ac:dyDescent="0.3">
      <c r="A479" s="69">
        <v>1</v>
      </c>
      <c r="B479" s="70">
        <v>45930</v>
      </c>
      <c r="C479" s="69" t="s">
        <v>88</v>
      </c>
      <c r="D479" s="69" t="s">
        <v>85</v>
      </c>
      <c r="E479" s="69" t="s">
        <v>38</v>
      </c>
      <c r="F479" s="69" t="s">
        <v>33</v>
      </c>
      <c r="G479" s="73">
        <v>3500</v>
      </c>
      <c r="H479" s="69" t="s">
        <v>53</v>
      </c>
    </row>
    <row r="480" spans="1:8" x14ac:dyDescent="0.3">
      <c r="A480" s="69">
        <v>1</v>
      </c>
      <c r="B480" s="70">
        <v>45961</v>
      </c>
      <c r="C480" s="69" t="s">
        <v>88</v>
      </c>
      <c r="D480" s="69" t="s">
        <v>85</v>
      </c>
      <c r="E480" s="69" t="s">
        <v>38</v>
      </c>
      <c r="F480" s="69" t="s">
        <v>33</v>
      </c>
      <c r="G480" s="73">
        <v>3000</v>
      </c>
      <c r="H480" s="69" t="s">
        <v>53</v>
      </c>
    </row>
    <row r="481" spans="1:8" x14ac:dyDescent="0.3">
      <c r="A481" s="69">
        <v>1</v>
      </c>
      <c r="B481" s="70">
        <v>45991</v>
      </c>
      <c r="C481" s="69" t="s">
        <v>88</v>
      </c>
      <c r="D481" s="69" t="s">
        <v>85</v>
      </c>
      <c r="E481" s="69" t="s">
        <v>38</v>
      </c>
      <c r="F481" s="69" t="s">
        <v>33</v>
      </c>
      <c r="G481" s="73">
        <v>3500</v>
      </c>
      <c r="H481" s="69" t="s">
        <v>53</v>
      </c>
    </row>
    <row r="482" spans="1:8" x14ac:dyDescent="0.3">
      <c r="A482">
        <v>1</v>
      </c>
      <c r="B482" s="74">
        <v>45322</v>
      </c>
      <c r="C482" t="s">
        <v>88</v>
      </c>
      <c r="D482" t="s">
        <v>85</v>
      </c>
      <c r="E482" t="s">
        <v>38</v>
      </c>
      <c r="F482" t="s">
        <v>33</v>
      </c>
      <c r="G482" s="75">
        <v>3000</v>
      </c>
      <c r="H482" t="s">
        <v>53</v>
      </c>
    </row>
    <row r="483" spans="1:8" x14ac:dyDescent="0.3">
      <c r="A483">
        <v>1</v>
      </c>
      <c r="B483" s="74">
        <v>45351</v>
      </c>
      <c r="C483" t="s">
        <v>88</v>
      </c>
      <c r="D483" t="s">
        <v>85</v>
      </c>
      <c r="E483" t="s">
        <v>38</v>
      </c>
      <c r="F483" t="s">
        <v>33</v>
      </c>
      <c r="G483" s="73">
        <v>3500</v>
      </c>
      <c r="H483" t="s">
        <v>53</v>
      </c>
    </row>
    <row r="484" spans="1:8" x14ac:dyDescent="0.3">
      <c r="A484">
        <v>1</v>
      </c>
      <c r="B484" s="74">
        <v>45382</v>
      </c>
      <c r="C484" t="s">
        <v>88</v>
      </c>
      <c r="D484" t="s">
        <v>85</v>
      </c>
      <c r="E484" t="s">
        <v>38</v>
      </c>
      <c r="F484" t="s">
        <v>33</v>
      </c>
      <c r="G484" s="75">
        <v>3000</v>
      </c>
      <c r="H484" t="s">
        <v>53</v>
      </c>
    </row>
    <row r="485" spans="1:8" x14ac:dyDescent="0.3">
      <c r="A485">
        <v>1</v>
      </c>
      <c r="B485" s="74">
        <v>45412</v>
      </c>
      <c r="C485" t="s">
        <v>88</v>
      </c>
      <c r="D485" t="s">
        <v>85</v>
      </c>
      <c r="E485" t="s">
        <v>38</v>
      </c>
      <c r="F485" t="s">
        <v>33</v>
      </c>
      <c r="G485" s="73">
        <v>3500</v>
      </c>
      <c r="H485" t="s">
        <v>53</v>
      </c>
    </row>
    <row r="486" spans="1:8" x14ac:dyDescent="0.3">
      <c r="A486">
        <v>1</v>
      </c>
      <c r="B486" s="74">
        <v>45443</v>
      </c>
      <c r="C486" t="s">
        <v>88</v>
      </c>
      <c r="D486" t="s">
        <v>85</v>
      </c>
      <c r="E486" t="s">
        <v>38</v>
      </c>
      <c r="F486" t="s">
        <v>33</v>
      </c>
      <c r="G486" s="75">
        <v>3000</v>
      </c>
      <c r="H486" t="s">
        <v>53</v>
      </c>
    </row>
    <row r="487" spans="1:8" x14ac:dyDescent="0.3">
      <c r="A487">
        <v>1</v>
      </c>
      <c r="B487" s="74">
        <v>45473</v>
      </c>
      <c r="C487" t="s">
        <v>88</v>
      </c>
      <c r="D487" t="s">
        <v>85</v>
      </c>
      <c r="E487" t="s">
        <v>38</v>
      </c>
      <c r="F487" t="s">
        <v>33</v>
      </c>
      <c r="G487" s="73">
        <v>3500</v>
      </c>
      <c r="H487" t="s">
        <v>53</v>
      </c>
    </row>
    <row r="488" spans="1:8" x14ac:dyDescent="0.3">
      <c r="A488">
        <v>1</v>
      </c>
      <c r="B488" s="74">
        <v>45504</v>
      </c>
      <c r="C488" t="s">
        <v>88</v>
      </c>
      <c r="D488" t="s">
        <v>85</v>
      </c>
      <c r="E488" t="s">
        <v>38</v>
      </c>
      <c r="F488" t="s">
        <v>33</v>
      </c>
      <c r="G488" s="75">
        <v>3000</v>
      </c>
      <c r="H488" t="s">
        <v>53</v>
      </c>
    </row>
    <row r="489" spans="1:8" x14ac:dyDescent="0.3">
      <c r="A489">
        <v>1</v>
      </c>
      <c r="B489" s="74">
        <v>45535</v>
      </c>
      <c r="C489" t="s">
        <v>88</v>
      </c>
      <c r="D489" t="s">
        <v>85</v>
      </c>
      <c r="E489" t="s">
        <v>38</v>
      </c>
      <c r="F489" t="s">
        <v>33</v>
      </c>
      <c r="G489" s="73">
        <v>3500</v>
      </c>
      <c r="H489" t="s">
        <v>53</v>
      </c>
    </row>
    <row r="490" spans="1:8" x14ac:dyDescent="0.3">
      <c r="A490">
        <v>1</v>
      </c>
      <c r="B490" s="74">
        <v>45565</v>
      </c>
      <c r="C490" t="s">
        <v>88</v>
      </c>
      <c r="D490" t="s">
        <v>85</v>
      </c>
      <c r="E490" t="s">
        <v>38</v>
      </c>
      <c r="F490" t="s">
        <v>33</v>
      </c>
      <c r="G490" s="75">
        <v>3000</v>
      </c>
      <c r="H490" t="s">
        <v>53</v>
      </c>
    </row>
    <row r="491" spans="1:8" x14ac:dyDescent="0.3">
      <c r="A491">
        <v>1</v>
      </c>
      <c r="B491" s="74">
        <v>45596</v>
      </c>
      <c r="C491" t="s">
        <v>88</v>
      </c>
      <c r="D491" t="s">
        <v>85</v>
      </c>
      <c r="E491" t="s">
        <v>38</v>
      </c>
      <c r="F491" t="s">
        <v>33</v>
      </c>
      <c r="G491" s="73">
        <v>3500</v>
      </c>
      <c r="H491" t="s">
        <v>53</v>
      </c>
    </row>
    <row r="492" spans="1:8" x14ac:dyDescent="0.3">
      <c r="A492">
        <v>1</v>
      </c>
      <c r="B492" s="74">
        <v>45626</v>
      </c>
      <c r="C492" t="s">
        <v>88</v>
      </c>
      <c r="D492" t="s">
        <v>85</v>
      </c>
      <c r="E492" t="s">
        <v>38</v>
      </c>
      <c r="F492" t="s">
        <v>33</v>
      </c>
      <c r="G492" s="75">
        <v>3000</v>
      </c>
      <c r="H492" t="s">
        <v>53</v>
      </c>
    </row>
    <row r="493" spans="1:8" x14ac:dyDescent="0.3">
      <c r="A493">
        <v>1</v>
      </c>
      <c r="B493" s="74">
        <v>45657</v>
      </c>
      <c r="C493" t="s">
        <v>88</v>
      </c>
      <c r="D493" t="s">
        <v>85</v>
      </c>
      <c r="E493" t="s">
        <v>38</v>
      </c>
      <c r="F493" t="s">
        <v>33</v>
      </c>
      <c r="G493" s="73">
        <v>3500</v>
      </c>
      <c r="H493" t="s">
        <v>53</v>
      </c>
    </row>
    <row r="494" spans="1:8" x14ac:dyDescent="0.3">
      <c r="A494">
        <v>1</v>
      </c>
      <c r="B494" s="74">
        <v>45322</v>
      </c>
      <c r="C494" t="s">
        <v>19</v>
      </c>
      <c r="D494" t="s">
        <v>85</v>
      </c>
      <c r="E494" t="s">
        <v>38</v>
      </c>
      <c r="F494" t="s">
        <v>33</v>
      </c>
      <c r="G494" s="86">
        <v>915.15</v>
      </c>
      <c r="H494" t="s">
        <v>12</v>
      </c>
    </row>
    <row r="495" spans="1:8" x14ac:dyDescent="0.3">
      <c r="A495">
        <v>1</v>
      </c>
      <c r="B495" s="74">
        <v>45351</v>
      </c>
      <c r="C495" t="s">
        <v>19</v>
      </c>
      <c r="D495" t="s">
        <v>85</v>
      </c>
      <c r="E495" t="s">
        <v>38</v>
      </c>
      <c r="F495" t="s">
        <v>33</v>
      </c>
      <c r="G495" s="86">
        <v>915.15</v>
      </c>
      <c r="H495" t="s">
        <v>12</v>
      </c>
    </row>
    <row r="496" spans="1:8" x14ac:dyDescent="0.3">
      <c r="A496">
        <v>1</v>
      </c>
      <c r="B496" s="74">
        <v>45382</v>
      </c>
      <c r="C496" t="s">
        <v>19</v>
      </c>
      <c r="D496" t="s">
        <v>85</v>
      </c>
      <c r="E496" t="s">
        <v>38</v>
      </c>
      <c r="F496" t="s">
        <v>33</v>
      </c>
      <c r="G496" s="86">
        <v>915.15</v>
      </c>
      <c r="H496" t="s">
        <v>12</v>
      </c>
    </row>
    <row r="497" spans="1:8" x14ac:dyDescent="0.3">
      <c r="A497">
        <v>1</v>
      </c>
      <c r="B497" s="74">
        <v>45412</v>
      </c>
      <c r="C497" t="s">
        <v>19</v>
      </c>
      <c r="D497" t="s">
        <v>85</v>
      </c>
      <c r="E497" t="s">
        <v>38</v>
      </c>
      <c r="F497" t="s">
        <v>33</v>
      </c>
      <c r="G497" s="86">
        <v>915.15</v>
      </c>
      <c r="H497" t="s">
        <v>12</v>
      </c>
    </row>
    <row r="498" spans="1:8" x14ac:dyDescent="0.3">
      <c r="A498">
        <v>1</v>
      </c>
      <c r="B498" s="74">
        <v>45443</v>
      </c>
      <c r="C498" t="s">
        <v>19</v>
      </c>
      <c r="D498" t="s">
        <v>85</v>
      </c>
      <c r="E498" t="s">
        <v>38</v>
      </c>
      <c r="F498" t="s">
        <v>33</v>
      </c>
      <c r="G498" s="86">
        <v>915.15</v>
      </c>
      <c r="H498" t="s">
        <v>12</v>
      </c>
    </row>
    <row r="499" spans="1:8" x14ac:dyDescent="0.3">
      <c r="A499">
        <v>1</v>
      </c>
      <c r="B499" s="74">
        <v>45473</v>
      </c>
      <c r="C499" t="s">
        <v>19</v>
      </c>
      <c r="D499" t="s">
        <v>85</v>
      </c>
      <c r="E499" t="s">
        <v>38</v>
      </c>
      <c r="F499" t="s">
        <v>33</v>
      </c>
      <c r="G499" s="86">
        <v>915.15</v>
      </c>
      <c r="H499" t="s">
        <v>12</v>
      </c>
    </row>
    <row r="500" spans="1:8" x14ac:dyDescent="0.3">
      <c r="A500">
        <v>1</v>
      </c>
      <c r="B500" s="74">
        <v>45504</v>
      </c>
      <c r="C500" t="s">
        <v>19</v>
      </c>
      <c r="D500" t="s">
        <v>85</v>
      </c>
      <c r="E500" t="s">
        <v>38</v>
      </c>
      <c r="F500" t="s">
        <v>33</v>
      </c>
      <c r="G500" s="86">
        <v>915.15</v>
      </c>
      <c r="H500" t="s">
        <v>12</v>
      </c>
    </row>
    <row r="501" spans="1:8" x14ac:dyDescent="0.3">
      <c r="A501">
        <v>1</v>
      </c>
      <c r="B501" s="74">
        <v>45535</v>
      </c>
      <c r="C501" t="s">
        <v>19</v>
      </c>
      <c r="D501" t="s">
        <v>85</v>
      </c>
      <c r="E501" t="s">
        <v>38</v>
      </c>
      <c r="F501" t="s">
        <v>33</v>
      </c>
      <c r="G501" s="86">
        <v>915.15</v>
      </c>
      <c r="H501" t="s">
        <v>12</v>
      </c>
    </row>
    <row r="502" spans="1:8" x14ac:dyDescent="0.3">
      <c r="A502">
        <v>1</v>
      </c>
      <c r="B502" s="74">
        <v>45565</v>
      </c>
      <c r="C502" t="s">
        <v>19</v>
      </c>
      <c r="D502" t="s">
        <v>85</v>
      </c>
      <c r="E502" t="s">
        <v>38</v>
      </c>
      <c r="F502" t="s">
        <v>33</v>
      </c>
      <c r="G502" s="86">
        <v>915.15</v>
      </c>
      <c r="H502" t="s">
        <v>12</v>
      </c>
    </row>
    <row r="503" spans="1:8" x14ac:dyDescent="0.3">
      <c r="A503">
        <v>1</v>
      </c>
      <c r="B503" s="74">
        <v>45596</v>
      </c>
      <c r="C503" t="s">
        <v>19</v>
      </c>
      <c r="D503" t="s">
        <v>85</v>
      </c>
      <c r="E503" t="s">
        <v>38</v>
      </c>
      <c r="F503" t="s">
        <v>33</v>
      </c>
      <c r="G503" s="86">
        <v>915.15</v>
      </c>
      <c r="H503" t="s">
        <v>12</v>
      </c>
    </row>
    <row r="504" spans="1:8" x14ac:dyDescent="0.3">
      <c r="A504">
        <v>1</v>
      </c>
      <c r="B504" s="74">
        <v>45626</v>
      </c>
      <c r="C504" t="s">
        <v>19</v>
      </c>
      <c r="D504" t="s">
        <v>85</v>
      </c>
      <c r="E504" t="s">
        <v>38</v>
      </c>
      <c r="F504" t="s">
        <v>33</v>
      </c>
      <c r="G504" s="86">
        <v>915.15</v>
      </c>
      <c r="H504" t="s">
        <v>12</v>
      </c>
    </row>
    <row r="505" spans="1:8" x14ac:dyDescent="0.3">
      <c r="A505">
        <v>1</v>
      </c>
      <c r="B505" s="74">
        <v>45657</v>
      </c>
      <c r="C505" t="s">
        <v>19</v>
      </c>
      <c r="D505" t="s">
        <v>85</v>
      </c>
      <c r="E505" t="s">
        <v>38</v>
      </c>
      <c r="F505" t="s">
        <v>33</v>
      </c>
      <c r="G505" s="86">
        <v>915.15</v>
      </c>
      <c r="H505" t="s">
        <v>12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Geral</vt:lpstr>
      <vt:lpstr>Euro</vt:lpstr>
      <vt:lpstr>Real</vt:lpstr>
      <vt:lpstr>Aportes</vt:lpstr>
      <vt:lpstr>test_db_new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Jucelio Tavares Junior</cp:lastModifiedBy>
  <dcterms:created xsi:type="dcterms:W3CDTF">2025-08-13T14:16:37Z</dcterms:created>
  <dcterms:modified xsi:type="dcterms:W3CDTF">2025-11-03T11:30:52Z</dcterms:modified>
</cp:coreProperties>
</file>